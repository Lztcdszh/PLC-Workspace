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电缆统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<sst xmlns="http://schemas.openxmlformats.org/spreadsheetml/2006/main" count="42" uniqueCount="29">
  <si>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电缆统计表</t>
  </si>
  <si>
    <t>工程名称：________________    站名/编号：________________    编制：________    审核：________    日期：________</t>
  </si>
  <si>
    <t>基本信息</t>
  </si>
  <si>
    <t>敷设与统计</t>
  </si>
  <si>
    <t>备注</t>
  </si>
  <si>
    <t>序号</t>
  </si>
  <si>
    <t>电缆型号/规格</t>
  </si>
  <si>
    <t>类别</t>
  </si>
  <si>
    <t>敷设区域/用途</t>
  </si>
  <si>
    <t>数量(根)</t>
  </si>
  <si>
    <t>单根长度(m)</t>
  </si>
  <si>
    <t>总长度(m)</t>
  </si>
  <si>
    <t>VVR 2×1.5²</t>
  </si>
  <si>
    <t>动力</t>
  </si>
  <si>
    <t>VVR 3×16+1×10</t>
  </si>
  <si>
    <t>VVR 3×10+1×6</t>
  </si>
  <si>
    <t>VVR 3×4+1×2.5</t>
  </si>
  <si>
    <t>VVR 3×2.5+1×1</t>
  </si>
  <si>
    <t>VVR 5×1.5</t>
  </si>
  <si>
    <t>VVR 4×1.5</t>
  </si>
  <si>
    <t>KVVR 27×1</t>
  </si>
  <si>
    <t>控制</t>
  </si>
  <si>
    <t>KVVR 8×1</t>
  </si>
  <si>
    <t>KVVR 4×1</t>
  </si>
  <si>
    <t>KVVR 3×0.75</t>
  </si>
  <si>
    <t>KVVR 2×0.75</t>
  </si>
  <si>
    <t>KVVRP 4×0.5</t>
  </si>
  <si>
    <t>KVVRP 2×1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</si>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</sst>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1F4E79"/>
      <name val="Microsoft YaHei"/>
      <charset val="134"/>
    </font>
    <font>
      <sz val="9"/>
      <color rgb="FF595959"/>
      <name val="Microsoft YaHei"/>
      <charset val="134"/>
    </font>
    <font>
      <b/>
      <sz val="10"/>
      <color rgb="FFFFFFFF"/>
      <name val="Microsoft YaHei"/>
      <charset val="134"/>
    </font>
    <font>
      <b/>
      <sz val="9"/>
      <color rgb="FF1F4E79"/>
      <name val="Microsoft YaHei"/>
      <charset val="134"/>
    </font>
    <font>
      <sz val="10"/>
      <name val="Microsoft YaHei"/>
      <charset val="134"/>
    </font>
    <font>
      <b/>
      <sz val="10"/>
      <color rgb="FF843C0C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1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tabSelected="1" workbookViewId="0">
      <pane ySplit="4" topLeftCell="A5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6" customWidth="1"/>
    <col min="2" max="2" width="20" customWidth="1"/>
    <col min="3" max="3" width="8" customWidth="1"/>
    <col min="4" max="4" width="24" customWidth="1"/>
    <col min="5" max="5" width="10" customWidth="1"/>
    <col min="6" max="7" width="13" customWidth="1"/>
    <col min="8" max="8" width="18" customWidth="1"/>
  </cols>
  <sheetData>
    <row r="1" ht="26" customHeight="1" spans="1:8">
      <c r="A1" s="1" t="s">
        <v>0</v>
      </c>
    </row>
    <row r="2" ht="18" customHeight="1" spans="1:8">
      <c r="A2" s="2" t="s">
        <v>1</v>
      </c>
    </row>
    <row r="3" ht="22" customHeight="1" spans="1:8">
      <c r="A3" s="3" t="s">
        <v>2</v>
      </c>
      <c r="E3" s="3" t="s">
        <v>3</v>
      </c>
      <c r="H3" s="3" t="s">
        <v>4</v>
      </c>
    </row>
    <row r="4" ht="24" customHeight="1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4</v>
      </c>
    </row>
    <row r="5" ht="16.5" spans="1:8">
      <c r="A5" s="5">
        <v>1</v>
      </c>
      <c r="B5" s="6" t="s">
        <v>12</v>
      </c>
      <c r="C5" s="5" t="s">
        <v>13</v>
      </c>
      <c r="D5" s="6"/>
      <c r="E5" s="5"/>
      <c r="F5" s="5"/>
      <c r="G5" t="str">
        <f t="shared" ref="G5:G18" si="0">IF(AND(E5&lt;&gt;"",F5&lt;&gt;""),E5*F5,"")</f>
        <v/>
      </c>
      <c r="H5" s="5"/>
    </row>
    <row r="6" ht="16.5" spans="1:8">
      <c r="A6" s="5">
        <v>2</v>
      </c>
      <c r="B6" s="6" t="s">
        <v>14</v>
      </c>
      <c r="C6" s="5" t="s">
        <v>13</v>
      </c>
      <c r="D6" s="6"/>
      <c r="E6" s="5"/>
      <c r="F6" s="5"/>
      <c r="G6" t="str">
        <f t="shared" si="0"/>
        <v/>
      </c>
      <c r="H6" s="5"/>
    </row>
    <row r="7" ht="16.5" spans="1:8">
      <c r="A7" s="5">
        <v>3</v>
      </c>
      <c r="B7" s="6" t="s">
        <v>15</v>
      </c>
      <c r="C7" s="5" t="s">
        <v>13</v>
      </c>
      <c r="D7" s="6"/>
      <c r="E7" s="5"/>
      <c r="F7" s="5"/>
      <c r="G7" t="str">
        <f t="shared" si="0"/>
        <v/>
      </c>
      <c r="H7" s="5"/>
    </row>
    <row r="8" ht="16.5" spans="1:8">
      <c r="A8" s="5">
        <v>4</v>
      </c>
      <c r="B8" s="6" t="s">
        <v>16</v>
      </c>
      <c r="C8" s="5" t="s">
        <v>13</v>
      </c>
      <c r="D8" s="6"/>
      <c r="E8" s="5"/>
      <c r="F8" s="5"/>
      <c r="G8" t="str">
        <f t="shared" si="0"/>
        <v/>
      </c>
      <c r="H8" s="5"/>
    </row>
    <row r="9" ht="16.5" spans="1:8">
      <c r="A9" s="5">
        <v>5</v>
      </c>
      <c r="B9" s="6" t="s">
        <v>17</v>
      </c>
      <c r="C9" s="5" t="s">
        <v>13</v>
      </c>
      <c r="D9" s="6"/>
      <c r="E9" s="5"/>
      <c r="F9" s="5"/>
      <c r="G9" t="str">
        <f t="shared" si="0"/>
        <v/>
      </c>
      <c r="H9" s="5"/>
    </row>
    <row r="10" ht="16.5" spans="1:8">
      <c r="A10" s="5">
        <v>6</v>
      </c>
      <c r="B10" s="6" t="s">
        <v>18</v>
      </c>
      <c r="C10" s="5" t="s">
        <v>13</v>
      </c>
      <c r="D10" s="6"/>
      <c r="E10" s="5"/>
      <c r="F10" s="5"/>
      <c r="G10" t="str">
        <f t="shared" si="0"/>
        <v/>
      </c>
      <c r="H10" s="5"/>
    </row>
    <row r="11" ht="16.5" spans="1:8">
      <c r="A11" s="5">
        <v>7</v>
      </c>
      <c r="B11" s="6" t="s">
        <v>19</v>
      </c>
      <c r="C11" s="5" t="s">
        <v>13</v>
      </c>
      <c r="D11" s="6"/>
      <c r="E11" s="5"/>
      <c r="F11" s="5"/>
      <c r="G11" t="str">
        <f t="shared" si="0"/>
        <v/>
      </c>
      <c r="H11" s="5"/>
    </row>
    <row r="12" ht="16.5" spans="1:8">
      <c r="A12" s="5">
        <v>8</v>
      </c>
      <c r="B12" s="6" t="s">
        <v>20</v>
      </c>
      <c r="C12" s="5" t="s">
        <v>21</v>
      </c>
      <c r="D12" s="6"/>
      <c r="E12" s="5"/>
      <c r="F12" s="5"/>
      <c r="G12" t="str">
        <f t="shared" si="0"/>
        <v/>
      </c>
      <c r="H12" s="5"/>
    </row>
    <row r="13" ht="16.5" spans="1:8">
      <c r="A13" s="5">
        <v>9</v>
      </c>
      <c r="B13" s="6" t="s">
        <v>22</v>
      </c>
      <c r="C13" s="5" t="s">
        <v>21</v>
      </c>
      <c r="D13" s="6"/>
      <c r="E13" s="5"/>
      <c r="F13" s="5"/>
      <c r="G13" t="str">
        <f t="shared" si="0"/>
        <v/>
      </c>
      <c r="H13" s="5"/>
    </row>
    <row r="14" ht="16.5" spans="1:8">
      <c r="A14" s="5">
        <v>10</v>
      </c>
      <c r="B14" s="6" t="s">
        <v>23</v>
      </c>
      <c r="C14" s="5" t="s">
        <v>21</v>
      </c>
      <c r="D14" s="6"/>
      <c r="E14" s="5"/>
      <c r="F14" s="5"/>
      <c r="G14" t="str">
        <f t="shared" si="0"/>
        <v/>
      </c>
      <c r="H14" s="5"/>
    </row>
    <row r="15" ht="16.5" spans="1:8">
      <c r="A15" s="5">
        <v>11</v>
      </c>
      <c r="B15" s="6" t="s">
        <v>24</v>
      </c>
      <c r="C15" s="5" t="s">
        <v>21</v>
      </c>
      <c r="D15" s="6"/>
      <c r="E15" s="5"/>
      <c r="F15" s="5"/>
      <c r="G15" t="str">
        <f t="shared" si="0"/>
        <v/>
      </c>
      <c r="H15" s="5"/>
    </row>
    <row r="16" ht="16.5" spans="1:8">
      <c r="A16" s="5">
        <v>12</v>
      </c>
      <c r="B16" s="6" t="s">
        <v>25</v>
      </c>
      <c r="C16" s="5" t="s">
        <v>21</v>
      </c>
      <c r="D16" s="6"/>
      <c r="E16" s="5"/>
      <c r="F16" s="5"/>
      <c r="G16" t="str">
        <f t="shared" si="0"/>
        <v/>
      </c>
      <c r="H16" s="5"/>
    </row>
    <row r="17" ht="16.5" spans="1:8">
      <c r="A17" s="5">
        <v>13</v>
      </c>
      <c r="B17" s="6" t="s">
        <v>26</v>
      </c>
      <c r="C17" s="5" t="s">
        <v>21</v>
      </c>
      <c r="D17" s="6"/>
      <c r="E17" s="5"/>
      <c r="F17" s="5"/>
      <c r="G17" t="str">
        <f t="shared" si="0"/>
        <v/>
      </c>
      <c r="H17" s="5"/>
    </row>
    <row r="18" ht="16.5" spans="1:8">
      <c r="A18" s="5">
        <v>14</v>
      </c>
      <c r="B18" s="6" t="s">
        <v>27</v>
      </c>
      <c r="C18" s="5" t="s">
        <v>21</v>
      </c>
      <c r="D18" s="6"/>
      <c r="E18" s="5"/>
      <c r="F18" s="5"/>
      <c r="G18" t="str">
        <f t="shared" si="0"/>
        <v/>
      </c>
      <c r="H18" s="5"/>
    </row>
    <row r="19" ht="16.5" spans="1:8">
      <c r="A19" s="7" t="s">
        <v>28</v>
      </c>
      <c r="B19" s="7"/>
      <c r="C19" s="7"/>
      <c r="D19" s="7"/>
      <c r="E19" s="7">
        <f>SUM(E5:E18)</f>
        <v>0</v>
      </c>
      <c r="F19" s="7"/>
      <c r="G19" s="7">
        <f>SUM(G5:G18)</f>
        <v>0</v>
      </c>
      <c r="H19" s="7"/>
    </row>
  </sheetData>
  <mergeCells count="4">
    <mergeCell ref="A1:H1"/>
    <mergeCell ref="A2:H2"/>
    <mergeCell ref="A3:D3"/>
    <mergeCell ref="E3:G3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电缆统计表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请叫我浩子╱╱</cp:lastModifiedBy>
  <dcterms:created xsi:type="dcterms:W3CDTF">2026-07-29T02:50:00Z</dcterms:created>
  <dcterms:modified xsi:type="dcterms:W3CDTF">2026-07-29T05:55:50Z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54308334278446F18C23B202B8E8EE79_12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