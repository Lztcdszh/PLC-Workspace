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文件\轨道交通180站\"/>
    </mc:Choice>
  </mc:AlternateContent>
  <bookViews>
    <workbookView windowWidth="28800" windowHeight="12255"/>
  </bookViews>
  <sheets>
    <sheet name="强电回路" sheetId="1" r:id="rId1"/>
    <sheet name="弱电回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<sst xmlns="http://schemas.openxmlformats.org/spreadsheetml/2006/main" count="1072" uniqueCount="499">
  <si>
    <t>电气配置表 — 强电回路配置</t>
  </si>
  <si>
    <t>工程名称：轨道交通HZN180站    站名/编号：HZN180    编制：孙振浩    审核：________    日期：2026.7.31</t>
  </si>
  <si>
    <t>序号</t>
  </si>
  <si>
    <t>项目/区域</t>
  </si>
  <si>
    <t>具体部件</t>
  </si>
  <si>
    <t>部件类型</t>
  </si>
  <si>
    <t>电气参数</t>
  </si>
  <si>
    <t>控制类型
(启停方式)</t>
  </si>
  <si>
    <t>配电保护元件</t>
  </si>
  <si>
    <t>I/O 点（信号 / 数量）</t>
  </si>
  <si>
    <t>电缆长度</t>
  </si>
  <si>
    <t>电缆截面积</t>
  </si>
  <si>
    <t>电缆规格（VVR，单位: m）</t>
  </si>
  <si>
    <t>备注</t>
  </si>
  <si>
    <t>单个功率
(kW)</t>
  </si>
  <si>
    <t>额定电流
(A)</t>
  </si>
  <si>
    <t>数量</t>
  </si>
  <si>
    <t>总功率
(kW)</t>
  </si>
  <si>
    <t>电压</t>
  </si>
  <si>
    <t>断路器
(QF)</t>
  </si>
  <si>
    <t>接触器/软启动
(KM)</t>
  </si>
  <si>
    <t>中间继电器
(KA)</t>
  </si>
  <si>
    <t>DO 信号</t>
  </si>
  <si>
    <t>DO
数量</t>
  </si>
  <si>
    <t>DI 信号</t>
  </si>
  <si>
    <t>DI
数量</t>
  </si>
  <si>
    <t>AI 信号</t>
  </si>
  <si>
    <t>AI
数量</t>
  </si>
  <si>
    <t>AO 信号</t>
  </si>
  <si>
    <t>AO
数量</t>
  </si>
  <si>
    <t>RVV
2×1.5²</t>
  </si>
  <si>
    <t>YJV
3×16+1×10</t>
  </si>
  <si>
    <t>YJV
3×10+1×6</t>
  </si>
  <si>
    <t>YJV
3×4+1×2.5</t>
  </si>
  <si>
    <t>YJV
3×2.5+1×1</t>
  </si>
  <si>
    <t>YJV
5×1.5</t>
  </si>
  <si>
    <t>总开关</t>
  </si>
  <si>
    <t>QF0
630A</t>
  </si>
  <si>
    <t>配电流电压表</t>
  </si>
  <si>
    <t>砂石料配料</t>
  </si>
  <si>
    <t>骨料仓1振动电机1</t>
  </si>
  <si>
    <t>振动电机</t>
  </si>
  <si>
    <t>AC 380V</t>
  </si>
  <si>
    <t>接触器</t>
  </si>
  <si>
    <t>QF1
电动机断路器</t>
  </si>
  <si>
    <t>KM1</t>
  </si>
  <si>
    <t>KA1</t>
  </si>
  <si>
    <t>启/停</t>
  </si>
  <si>
    <t>故障、运行</t>
  </si>
  <si>
    <t>MVE100/3</t>
  </si>
  <si>
    <t>骨料仓1振动电机2</t>
  </si>
  <si>
    <t>QF2
电动机断路器</t>
  </si>
  <si>
    <t>KM2</t>
  </si>
  <si>
    <t>KA2</t>
  </si>
  <si>
    <t>骨料仓4振动电机1</t>
  </si>
  <si>
    <t>QF3
电动机断路器</t>
  </si>
  <si>
    <t>KM3</t>
  </si>
  <si>
    <t>KA3</t>
  </si>
  <si>
    <t>骨料仓4振动电机2</t>
  </si>
  <si>
    <t>QF4
电动机断路器</t>
  </si>
  <si>
    <t>KM4</t>
  </si>
  <si>
    <t>KA4</t>
  </si>
  <si>
    <t>计量斗1振动电机</t>
  </si>
  <si>
    <t>QF5
电动机断路器</t>
  </si>
  <si>
    <t>KM5</t>
  </si>
  <si>
    <t>KA5</t>
  </si>
  <si>
    <t>计量斗4振动电机</t>
  </si>
  <si>
    <t>QF6
电动机断路器</t>
  </si>
  <si>
    <t>KM6</t>
  </si>
  <si>
    <t>KA6</t>
  </si>
  <si>
    <t>折弯皮带</t>
  </si>
  <si>
    <t>电机</t>
  </si>
  <si>
    <t>QF7
电动机断路器</t>
  </si>
  <si>
    <t>KM7</t>
  </si>
  <si>
    <t>KA7</t>
  </si>
  <si>
    <t>电流反馈</t>
  </si>
  <si>
    <t>常转</t>
  </si>
  <si>
    <t>大倾角斜皮带</t>
  </si>
  <si>
    <t>斜皮带机</t>
  </si>
  <si>
    <t>接触器(星三角)</t>
  </si>
  <si>
    <t>QF8
100A断路器</t>
  </si>
  <si>
    <t>KM8-1 KM8-2 KM8-3 FR8</t>
  </si>
  <si>
    <t>KA8 KT8</t>
  </si>
  <si>
    <t>跳闸故障、热继电器故障、运行</t>
  </si>
  <si>
    <t>斜皮带振动器1</t>
  </si>
  <si>
    <t>QF9
电动机断路器</t>
  </si>
  <si>
    <t>KM9</t>
  </si>
  <si>
    <t>KA9</t>
  </si>
  <si>
    <t>MVE60/3</t>
  </si>
  <si>
    <t>斜皮带振动器2</t>
  </si>
  <si>
    <t>QF10
电动机断路器</t>
  </si>
  <si>
    <t>KM10</t>
  </si>
  <si>
    <t>KA10</t>
  </si>
  <si>
    <t>回程皮带机</t>
  </si>
  <si>
    <t>QF11
电动机断路器</t>
  </si>
  <si>
    <t>KM11</t>
  </si>
  <si>
    <t>KA11</t>
  </si>
  <si>
    <t>搅拌主机</t>
  </si>
  <si>
    <t>主搅拌电机</t>
  </si>
  <si>
    <t>QF12
350A断路器</t>
  </si>
  <si>
    <t>KM12-1 KM12-2 KM12-3 FR12</t>
  </si>
  <si>
    <t>KA12 KT12</t>
  </si>
  <si>
    <t>科尼乐CMPE3000</t>
  </si>
  <si>
    <t>卸料门液压油泵</t>
  </si>
  <si>
    <t>液压油泵</t>
  </si>
  <si>
    <t>QF13
电动机断路器</t>
  </si>
  <si>
    <t>KM13</t>
  </si>
  <si>
    <t>KA13</t>
  </si>
  <si>
    <t>高压清洗机</t>
  </si>
  <si>
    <t>QF14
电动机断路器</t>
  </si>
  <si>
    <t>KM14</t>
  </si>
  <si>
    <t>KA14</t>
  </si>
  <si>
    <t>高压清洗喷头1</t>
  </si>
  <si>
    <t>喷头电机</t>
  </si>
  <si>
    <t>AC 220V</t>
  </si>
  <si>
    <t>QF15
断路器</t>
  </si>
  <si>
    <t>KM15</t>
  </si>
  <si>
    <t>KA15</t>
  </si>
  <si>
    <t>高压清洗喷头2</t>
  </si>
  <si>
    <t>QF16
断路器</t>
  </si>
  <si>
    <t>KM16</t>
  </si>
  <si>
    <t>KA16</t>
  </si>
  <si>
    <t>高压清洗喷头3</t>
  </si>
  <si>
    <t>QF17
断路器</t>
  </si>
  <si>
    <t>KM17</t>
  </si>
  <si>
    <t>KA17</t>
  </si>
  <si>
    <t>主楼除尘</t>
  </si>
  <si>
    <t>除尘风机</t>
  </si>
  <si>
    <t>QF18
电动机断路器</t>
  </si>
  <si>
    <t>KM18</t>
  </si>
  <si>
    <t>KA18</t>
  </si>
  <si>
    <t>24袋脉冲反吹</t>
  </si>
  <si>
    <t>脉冲控制仪</t>
  </si>
  <si>
    <t>供电</t>
  </si>
  <si>
    <t>QF19
2P断路器</t>
  </si>
  <si>
    <t>KM19</t>
  </si>
  <si>
    <t>KA19</t>
  </si>
  <si>
    <t>LXG-M10</t>
  </si>
  <si>
    <t>中间骨料储料斗</t>
  </si>
  <si>
    <t>储料斗振动电机</t>
  </si>
  <si>
    <t>QF20
电动机断路器</t>
  </si>
  <si>
    <t>KM20</t>
  </si>
  <si>
    <t>KA20</t>
  </si>
  <si>
    <t>粉料计量系统</t>
  </si>
  <si>
    <t>水泥计量斗振动电机</t>
  </si>
  <si>
    <t>QF21
电动机断路器</t>
  </si>
  <si>
    <t>KM21</t>
  </si>
  <si>
    <t>KA21</t>
  </si>
  <si>
    <t>粉煤灰计量斗振动电机</t>
  </si>
  <si>
    <t>QF22
电动机断路器</t>
  </si>
  <si>
    <t>KM22</t>
  </si>
  <si>
    <t>KA22</t>
  </si>
  <si>
    <t>硅灰微珠计量斗振动电机</t>
  </si>
  <si>
    <t>QF23
电动机断路器</t>
  </si>
  <si>
    <t>KM23</t>
  </si>
  <si>
    <t>KA23</t>
  </si>
  <si>
    <t>MVE60/3 硅灰与微珠累加计量</t>
  </si>
  <si>
    <t>水供给系统</t>
  </si>
  <si>
    <t>潜水泵</t>
  </si>
  <si>
    <t>QF24
电动机断路器</t>
  </si>
  <si>
    <t>KM24</t>
  </si>
  <si>
    <t>KA24</t>
  </si>
  <si>
    <t>水称量系统</t>
  </si>
  <si>
    <t>卸水泵</t>
  </si>
  <si>
    <t>QF25
电动机断路器</t>
  </si>
  <si>
    <t>KM25</t>
  </si>
  <si>
    <t>KA25</t>
  </si>
  <si>
    <t>水称卸水增加</t>
  </si>
  <si>
    <t>外加剂供给系统</t>
  </si>
  <si>
    <t>外加剂泵1</t>
  </si>
  <si>
    <t>外加剂泵</t>
  </si>
  <si>
    <t>QF26
电动机断路器</t>
  </si>
  <si>
    <t>KM26</t>
  </si>
  <si>
    <t>KA26</t>
  </si>
  <si>
    <t>外加剂泵2</t>
  </si>
  <si>
    <t>QF27
电动机断路器</t>
  </si>
  <si>
    <t>KM27</t>
  </si>
  <si>
    <t>KA27</t>
  </si>
  <si>
    <t>外加剂泵3</t>
  </si>
  <si>
    <t>QF28
电动机断路器</t>
  </si>
  <si>
    <t>KM28</t>
  </si>
  <si>
    <t>KA28</t>
  </si>
  <si>
    <t>外加剂泵4</t>
  </si>
  <si>
    <t>QF29
电动机断路器</t>
  </si>
  <si>
    <t>KM29</t>
  </si>
  <si>
    <t>KA29</t>
  </si>
  <si>
    <t>供气系统</t>
  </si>
  <si>
    <t>螺杆空压机</t>
  </si>
  <si>
    <t>空压机</t>
  </si>
  <si>
    <t>3P供电</t>
  </si>
  <si>
    <t>QF30
断路器</t>
  </si>
  <si>
    <t>KM30</t>
  </si>
  <si>
    <t>KA30</t>
  </si>
  <si>
    <t>排气量2.4m³/min</t>
  </si>
  <si>
    <t>冷干机</t>
  </si>
  <si>
    <t>2P供电</t>
  </si>
  <si>
    <t>QF31
断路器</t>
  </si>
  <si>
    <t>KM31</t>
  </si>
  <si>
    <t>KA31</t>
  </si>
  <si>
    <t>宝诺 处理量2.6方/min</t>
  </si>
  <si>
    <t>水泥1输送</t>
  </si>
  <si>
    <t>水泥1子母螺旋机</t>
  </si>
  <si>
    <t>母螺旋</t>
  </si>
  <si>
    <t>QF32
电动机断路器</t>
  </si>
  <si>
    <t>KM32</t>
  </si>
  <si>
    <t>KA32</t>
  </si>
  <si>
    <t>D323x12m</t>
  </si>
  <si>
    <t>子螺旋</t>
  </si>
  <si>
    <t>QF33
电动机断路器</t>
  </si>
  <si>
    <t>KM33</t>
  </si>
  <si>
    <t>KA33</t>
  </si>
  <si>
    <t>水泥2输送</t>
  </si>
  <si>
    <t>水泥2子母螺旋机</t>
  </si>
  <si>
    <t>QF34
电动机断路器</t>
  </si>
  <si>
    <t>KM34</t>
  </si>
  <si>
    <t>KA34</t>
  </si>
  <si>
    <t>QF35
电动机断路器</t>
  </si>
  <si>
    <t>KM35</t>
  </si>
  <si>
    <t>KA35</t>
  </si>
  <si>
    <t>粉煤灰1输送</t>
  </si>
  <si>
    <t>粉煤灰1子母螺旋机</t>
  </si>
  <si>
    <t>QF36
电动机断路器</t>
  </si>
  <si>
    <t>KM36</t>
  </si>
  <si>
    <t>KA36</t>
  </si>
  <si>
    <t>D273x12m</t>
  </si>
  <si>
    <t>QF37
电动机断路器</t>
  </si>
  <si>
    <t>KM37</t>
  </si>
  <si>
    <t>KA37</t>
  </si>
  <si>
    <t>粉煤灰2输送</t>
  </si>
  <si>
    <t>粉煤灰2子母螺旋机</t>
  </si>
  <si>
    <t>QF38
电动机断路器</t>
  </si>
  <si>
    <t>KM38</t>
  </si>
  <si>
    <t>KA38</t>
  </si>
  <si>
    <t>QF39
电动机断路器</t>
  </si>
  <si>
    <t>KM39</t>
  </si>
  <si>
    <t>KA39</t>
  </si>
  <si>
    <t>硅灰输送</t>
  </si>
  <si>
    <t>硅灰子母螺旋机</t>
  </si>
  <si>
    <t>QF40
电动机断路器</t>
  </si>
  <si>
    <t>KM40</t>
  </si>
  <si>
    <t>KA40</t>
  </si>
  <si>
    <t>D323x6m</t>
  </si>
  <si>
    <t>QF41
电动机断路器</t>
  </si>
  <si>
    <t>KM41</t>
  </si>
  <si>
    <t>KA41</t>
  </si>
  <si>
    <t>微珠输送</t>
  </si>
  <si>
    <t>微珠子母螺旋机</t>
  </si>
  <si>
    <t>QF42
电动机断路器</t>
  </si>
  <si>
    <t>KM42</t>
  </si>
  <si>
    <t>KA42</t>
  </si>
  <si>
    <t>QF43
电动机断路器</t>
  </si>
  <si>
    <t>KM43</t>
  </si>
  <si>
    <t>KA43</t>
  </si>
  <si>
    <t>硅灰输送(预留)</t>
  </si>
  <si>
    <t>硅灰预留子母螺旋机</t>
  </si>
  <si>
    <t>QF44
电动机断路器</t>
  </si>
  <si>
    <t>KM44</t>
  </si>
  <si>
    <t>KA44</t>
  </si>
  <si>
    <t>D323x6m 预留</t>
  </si>
  <si>
    <t>QF45
电动机断路器</t>
  </si>
  <si>
    <t>KM45</t>
  </si>
  <si>
    <t>KA45</t>
  </si>
  <si>
    <t>预留</t>
  </si>
  <si>
    <t>粉仓除尘</t>
  </si>
  <si>
    <t>水泥1(200T)</t>
  </si>
  <si>
    <t>QF46(供电)
4P断路器</t>
  </si>
  <si>
    <t>带脉冲控制仪</t>
  </si>
  <si>
    <t>水泥2(200T)</t>
  </si>
  <si>
    <t>粉煤灰1(200T)</t>
  </si>
  <si>
    <t>粉煤灰2(200T)</t>
  </si>
  <si>
    <t>硅灰(150T)</t>
  </si>
  <si>
    <t>除尘脉冲控制仪</t>
  </si>
  <si>
    <t>气锤脉冲控制仪VST-ZC-8D</t>
  </si>
  <si>
    <t>控制3破拱+3气锤电磁阀</t>
  </si>
  <si>
    <t>微珠(150T)</t>
  </si>
  <si>
    <t>备用(150T)</t>
  </si>
  <si>
    <t>电铃</t>
  </si>
  <si>
    <t>人民电器 型号：黑色10寸SHF-250mm 220V 35W</t>
  </si>
  <si>
    <t>继电器</t>
  </si>
  <si>
    <t>KA46</t>
  </si>
  <si>
    <t>斜皮带启动预警</t>
  </si>
  <si>
    <t>报警</t>
  </si>
  <si>
    <t>MS290 220V 40W</t>
  </si>
  <si>
    <t>KA47</t>
  </si>
  <si>
    <t>投光灯</t>
  </si>
  <si>
    <t>室外照明开关</t>
  </si>
  <si>
    <t>LED投光灯220V-30W</t>
  </si>
  <si>
    <t>QF49
2P漏电保护断路器</t>
  </si>
  <si>
    <t>主楼内照明5处</t>
  </si>
  <si>
    <t>操作室</t>
  </si>
  <si>
    <t>检修开关</t>
  </si>
  <si>
    <t>QF50
4P断路器</t>
  </si>
  <si>
    <t>视频监控</t>
  </si>
  <si>
    <t>QF51
2P漏电保护断路器</t>
  </si>
  <si>
    <t>室内照明开关</t>
  </si>
  <si>
    <t>QF52
2P漏电保护断路器</t>
  </si>
  <si>
    <t>室内空调开关</t>
  </si>
  <si>
    <t>QF53
2P漏电保护断路器</t>
  </si>
  <si>
    <t>室内插座开关</t>
  </si>
  <si>
    <t>QF54
2P漏电保护断路器</t>
  </si>
  <si>
    <t>UPS开关</t>
  </si>
  <si>
    <t>QF56
2P漏电保护断路器</t>
  </si>
  <si>
    <t>备用</t>
  </si>
  <si>
    <t>QF57
4P断路器</t>
  </si>
  <si>
    <t>合计</t>
  </si>
  <si>
    <t>各类型点预留备用20%</t>
  </si>
  <si>
    <t>电气配置表 — 弱电回路配置（电磁阀 / 传感器）</t>
  </si>
  <si>
    <t>部件类型/控制类型</t>
  </si>
  <si>
    <t>型号</t>
  </si>
  <si>
    <t>电缆规格（KVVR / KVVRP，单位: m）</t>
  </si>
  <si>
    <t>分线箱</t>
  </si>
  <si>
    <t>KVVR
27×1</t>
  </si>
  <si>
    <t>KVVR
8×1</t>
  </si>
  <si>
    <t>KVVR
4×1</t>
  </si>
  <si>
    <t>KVVR
3×0.75</t>
  </si>
  <si>
    <t>KVVR
2×0.75</t>
  </si>
  <si>
    <t>KVVRP
4×0.5</t>
  </si>
  <si>
    <t>KVVRP
2×1</t>
  </si>
  <si>
    <t>骨料仓1大门(粗称)</t>
  </si>
  <si>
    <t>门控电磁阀</t>
  </si>
  <si>
    <t>KA50</t>
  </si>
  <si>
    <t>配料气控箱1</t>
  </si>
  <si>
    <t>骨料仓1小门(精称)</t>
  </si>
  <si>
    <t>KA51</t>
  </si>
  <si>
    <t>骨料仓1计量斗卸料门</t>
  </si>
  <si>
    <t>KA52</t>
  </si>
  <si>
    <t>骨料仓1计量斗称重传感器</t>
  </si>
  <si>
    <t>称重传感器2000kg</t>
  </si>
  <si>
    <t>AJB-015</t>
  </si>
  <si>
    <t>称重</t>
  </si>
  <si>
    <t>/</t>
  </si>
  <si>
    <t>梅迪亚拉式</t>
  </si>
  <si>
    <t>骨料仓2大门(粗称)</t>
  </si>
  <si>
    <t>KA53</t>
  </si>
  <si>
    <t>骨料仓2小门(精称)</t>
  </si>
  <si>
    <t>KA54</t>
  </si>
  <si>
    <t>骨料仓2计量斗卸料门</t>
  </si>
  <si>
    <t>KA55</t>
  </si>
  <si>
    <t>骨料仓2计量斗称重传感器</t>
  </si>
  <si>
    <t>骨料仓3大门(粗称)</t>
  </si>
  <si>
    <t>KA56</t>
  </si>
  <si>
    <t>配料气控箱2</t>
  </si>
  <si>
    <t>骨料仓3小门(精称)</t>
  </si>
  <si>
    <t>KA57</t>
  </si>
  <si>
    <t>骨料仓3计量斗卸料门</t>
  </si>
  <si>
    <t>KA58</t>
  </si>
  <si>
    <t>骨料仓3计量斗称重传感器</t>
  </si>
  <si>
    <t>骨料仓4大门(粗称)</t>
  </si>
  <si>
    <t>KA59</t>
  </si>
  <si>
    <t>骨料仓4小门(精称)</t>
  </si>
  <si>
    <t>KA60</t>
  </si>
  <si>
    <t>骨料仓4计量斗卸料门</t>
  </si>
  <si>
    <t>KA61</t>
  </si>
  <si>
    <t>骨料仓4计量斗称重传感器</t>
  </si>
  <si>
    <t>折弯皮带电流信号</t>
  </si>
  <si>
    <t>电流互感器</t>
  </si>
  <si>
    <t>T1</t>
  </si>
  <si>
    <t>4-20ma</t>
  </si>
  <si>
    <t>拉绳开关</t>
  </si>
  <si>
    <t>拉绳急停开关</t>
  </si>
  <si>
    <t>急停</t>
  </si>
  <si>
    <t>双向</t>
  </si>
  <si>
    <t>斜皮带电流信号</t>
  </si>
  <si>
    <t>T2</t>
  </si>
  <si>
    <t>回程皮带电流信号</t>
  </si>
  <si>
    <t>T3</t>
  </si>
  <si>
    <t>搅拌主机电流信号</t>
  </si>
  <si>
    <t>T4</t>
  </si>
  <si>
    <t>132KW</t>
  </si>
  <si>
    <t>现场急停</t>
  </si>
  <si>
    <t>急停开关两线</t>
  </si>
  <si>
    <t>搅拌层分线箱</t>
  </si>
  <si>
    <t>检修门检测开关</t>
  </si>
  <si>
    <t>行程开关两线</t>
  </si>
  <si>
    <t>检修门</t>
  </si>
  <si>
    <t>卸料门限位-关门</t>
  </si>
  <si>
    <t>接近开关DC24V PNP三线</t>
  </si>
  <si>
    <t>关位置</t>
  </si>
  <si>
    <t>卸料门限位-半开</t>
  </si>
  <si>
    <t>半开</t>
  </si>
  <si>
    <t>卸料门限位-全开</t>
  </si>
  <si>
    <t>全开</t>
  </si>
  <si>
    <t>卸料液压电磁阀-开</t>
  </si>
  <si>
    <t>电磁阀24V</t>
  </si>
  <si>
    <t>KA62</t>
  </si>
  <si>
    <t>卸料液压电磁阀-关</t>
  </si>
  <si>
    <t>KA63</t>
  </si>
  <si>
    <t>高压清洗电磁阀1(控2喷头)</t>
  </si>
  <si>
    <t>KA64</t>
  </si>
  <si>
    <t>高压清洗电磁阀2(控1喷头)</t>
  </si>
  <si>
    <t>KA65</t>
  </si>
  <si>
    <t>启动信号2线</t>
  </si>
  <si>
    <t>KA66</t>
  </si>
  <si>
    <t>脉冲控制仪控制 依次反吹</t>
  </si>
  <si>
    <t>卸料门电磁阀</t>
  </si>
  <si>
    <t>电磁阀</t>
  </si>
  <si>
    <t>KA67</t>
  </si>
  <si>
    <t>骨料斗气控箱</t>
  </si>
  <si>
    <t>单气缸推拉</t>
  </si>
  <si>
    <t>卸料门限位-开</t>
  </si>
  <si>
    <t>机械限位开关</t>
  </si>
  <si>
    <t>开位置</t>
  </si>
  <si>
    <t>卸料门限位-关</t>
  </si>
  <si>
    <t>水泥秤卸料蝶阀(DN300)</t>
  </si>
  <si>
    <t>卸料蝶阀</t>
  </si>
  <si>
    <t>KA68</t>
  </si>
  <si>
    <t>开/关</t>
  </si>
  <si>
    <t>仕高玛/珠海汇高 带限位</t>
  </si>
  <si>
    <t>粉煤灰秤卸料蝶阀(DN250)</t>
  </si>
  <si>
    <t>KA69</t>
  </si>
  <si>
    <t>带限位</t>
  </si>
  <si>
    <t>硅灰微珠秤卸料蝶阀(DN250)</t>
  </si>
  <si>
    <t>KA70</t>
  </si>
  <si>
    <t>带限位 硅灰微珠累加</t>
  </si>
  <si>
    <t>水泥秤称重传感器</t>
  </si>
  <si>
    <t>称重传感器SSB-Ⅲ-1000kg</t>
  </si>
  <si>
    <t>梅迪亚压式</t>
  </si>
  <si>
    <t>粉煤灰秤称重传感器</t>
  </si>
  <si>
    <t>称重传感器SSB-Ⅲ-500kg</t>
  </si>
  <si>
    <t>硅灰微珠秤称重传感器</t>
  </si>
  <si>
    <t>水泥秤蝶阀位置检测</t>
  </si>
  <si>
    <t>蝶阀自带三线</t>
  </si>
  <si>
    <t>开/关位置</t>
  </si>
  <si>
    <t>计量层分线箱</t>
  </si>
  <si>
    <t>粉煤灰秤蝶阀位置检测</t>
  </si>
  <si>
    <t>硅灰微珠秤蝶阀位置检测</t>
  </si>
  <si>
    <t>水称称重传感器</t>
  </si>
  <si>
    <t>卸水蝶阀(DN150)</t>
  </si>
  <si>
    <t>气动衬胶对夹蝶阀</t>
  </si>
  <si>
    <t>KA72</t>
  </si>
  <si>
    <t>水称气控箱</t>
  </si>
  <si>
    <t>卸水蝶阀位置检测</t>
  </si>
  <si>
    <t>水精计量球阀(DN25)</t>
  </si>
  <si>
    <t>气动球阀</t>
  </si>
  <si>
    <t>KA73</t>
  </si>
  <si>
    <t>外加剂称量系统</t>
  </si>
  <si>
    <t>外加剂称1卸料蝶阀(Φ50)</t>
  </si>
  <si>
    <t>气动对夹蝶阀</t>
  </si>
  <si>
    <t>KA74</t>
  </si>
  <si>
    <t>运行反馈信号</t>
  </si>
  <si>
    <t>外加剂称1蝶阀位置检测</t>
  </si>
  <si>
    <t>外加剂称1称重传感器</t>
  </si>
  <si>
    <t>拉式传感器200kg</t>
  </si>
  <si>
    <t>梅迪亚 两外加剂单独计量</t>
  </si>
  <si>
    <t>外加剂称2卸料蝶阀(Φ50)</t>
  </si>
  <si>
    <t>KA75</t>
  </si>
  <si>
    <t>外加剂称2蝶阀位置检测</t>
  </si>
  <si>
    <t>外加剂称2称重传感器</t>
  </si>
  <si>
    <t>外加剂1精计量球阀1(DN15)</t>
  </si>
  <si>
    <t>KA76</t>
  </si>
  <si>
    <t>外加剂1精计量球阀2(DN15)</t>
  </si>
  <si>
    <t>KA77</t>
  </si>
  <si>
    <t>外加剂2精计量球阀1(DN15)</t>
  </si>
  <si>
    <t>KA78</t>
  </si>
  <si>
    <t>外加剂2精计量球阀2(DN15)</t>
  </si>
  <si>
    <t>KA79</t>
  </si>
  <si>
    <t>压力传感器</t>
  </si>
  <si>
    <t>压力信号</t>
  </si>
  <si>
    <t>螺旋输送系统</t>
  </si>
  <si>
    <t>水泥1母螺旋电流信号</t>
  </si>
  <si>
    <t>T5</t>
  </si>
  <si>
    <t>水泥2母螺旋电流信号</t>
  </si>
  <si>
    <t>T6</t>
  </si>
  <si>
    <t>粉煤灰1母螺旋电流信号</t>
  </si>
  <si>
    <t>T7</t>
  </si>
  <si>
    <t>粉煤灰2母螺旋电流信号</t>
  </si>
  <si>
    <t>T8</t>
  </si>
  <si>
    <t>硅灰母螺旋电流信号</t>
  </si>
  <si>
    <t>T9</t>
  </si>
  <si>
    <t>微珠母螺旋电流信号</t>
  </si>
  <si>
    <t>T10</t>
  </si>
  <si>
    <t>硅灰母螺旋(预留)电流信号</t>
  </si>
  <si>
    <t>T11</t>
  </si>
  <si>
    <t>水泥仓1(200T)</t>
  </si>
  <si>
    <t>破拱电磁阀</t>
  </si>
  <si>
    <t>KA80</t>
  </si>
  <si>
    <t>6个助流气垫</t>
  </si>
  <si>
    <t>粉煤灰仓1(200T)</t>
  </si>
  <si>
    <t>KA81</t>
  </si>
  <si>
    <t>水泥仓2(200T)</t>
  </si>
  <si>
    <t>KA82</t>
  </si>
  <si>
    <t>粉煤灰仓2(200T)</t>
  </si>
  <si>
    <t>KA83</t>
  </si>
  <si>
    <t>硅灰仓(150T)</t>
  </si>
  <si>
    <t>KA84</t>
  </si>
  <si>
    <t>VST-ZC-8D</t>
  </si>
  <si>
    <t>16个助流气垫</t>
  </si>
  <si>
    <t>微珠仓(150T)</t>
  </si>
  <si>
    <t>KA90</t>
  </si>
  <si>
    <t>硅灰仓(预留150T)</t>
  </si>
  <si>
    <t>KA96</t>
  </si>
  <si>
    <t>预留 16个助流气垫</t>
  </si>
  <si>
    <t>6阀</t>
  </si>
  <si>
    <t>骨料仓1&amp;2</t>
  </si>
  <si>
    <t>骨料仓3&amp;4</t>
  </si>
  <si>
    <t>4阀</t>
  </si>
  <si>
    <t>骨料斗+3粉料秤门</t>
  </si>
  <si>
    <t>8阀</t>
  </si>
  <si>
    <t>水称卸水+水精计量+2外加剂卸料+4外加剂精计量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</si>
</sst>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b/>
      <sz val="9"/>
      <color rgb="FFFFFFFF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E699"/>
        <bgColor rgb="FFFFE699"/>
      </patternFill>
    </fill>
    <fill>
      <patternFill patternType="solid">
        <fgColor rgb="FFE8F5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E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7" applyNumberFormat="0" applyAlignment="0" applyProtection="0">
      <alignment vertical="center"/>
    </xf>
    <xf numFmtId="0" fontId="16" fillId="10" borderId="18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1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5"/>
  <sheetViews>
    <sheetView tabSelected="1" workbookViewId="0">
      <pane xSplit="9" ySplit="4" topLeftCell="J5" activePane="bottomRight" state="frozen"/>
      <selection/>
      <selection pane="topRight"/>
      <selection pane="bottomLeft"/>
      <selection pane="bottomRight" activeCell="W5" sqref="W5"/>
    </sheetView>
  </sheetViews>
  <sheetFormatPr defaultColWidth="9" defaultRowHeight="13.5"/>
  <cols>
    <col min="1" max="1" width="5" customWidth="1"/>
    <col min="2" max="2" width="11.25" customWidth="1"/>
    <col min="3" max="3" width="10.875" customWidth="1"/>
    <col min="4" max="4" width="12" customWidth="1"/>
    <col min="5" max="5" width="7.625" customWidth="1"/>
    <col min="6" max="6" width="6.75" customWidth="1"/>
    <col min="7" max="7" width="4.5" customWidth="1"/>
    <col min="8" max="8" width="6.375" customWidth="1"/>
    <col min="9" max="9" width="7" customWidth="1"/>
    <col min="10" max="10" width="12" customWidth="1"/>
    <col min="11" max="11" width="11" customWidth="1"/>
    <col min="12" max="12" width="12.75" customWidth="1"/>
    <col min="13" max="13" width="9.375" customWidth="1"/>
    <col min="14" max="14" width="7.375" customWidth="1"/>
    <col min="15" max="15" width="5" customWidth="1"/>
    <col min="16" max="16" width="11.375" customWidth="1"/>
    <col min="17" max="17" width="5" customWidth="1"/>
    <col min="18" max="18" width="10" customWidth="1"/>
    <col min="19" max="19" width="5" customWidth="1"/>
    <col min="20" max="20" width="6.625" customWidth="1"/>
    <col min="21" max="21" width="5" customWidth="1"/>
    <col min="22" max="22" width="7.875" customWidth="1"/>
    <col min="23" max="23" width="8.875" customWidth="1"/>
    <col min="24" max="24" width="8" customWidth="1"/>
    <col min="25" max="28" width="10" customWidth="1"/>
    <col min="29" max="29" width="8" customWidth="1"/>
    <col min="30" max="30" width="18" customWidth="1"/>
  </cols>
  <sheetData>
    <row r="1" ht="30" customHeight="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</row>
    <row r="2" ht="22" customHeight="1" spans="1:30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3" ht="25" customHeight="1" spans="1:3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2"/>
      <c r="G3" s="2"/>
      <c r="H3" s="2"/>
      <c r="I3" s="3"/>
      <c r="J3" s="5" t="s">
        <v>7</v>
      </c>
      <c r="K3" s="5" t="s">
        <v>8</v>
      </c>
      <c r="L3" s="2"/>
      <c r="M3" s="3"/>
      <c r="N3" s="5" t="s">
        <v>9</v>
      </c>
      <c r="O3" s="2"/>
      <c r="P3" s="2"/>
      <c r="Q3" s="2"/>
      <c r="R3" s="2"/>
      <c r="S3" s="2"/>
      <c r="T3" s="2"/>
      <c r="U3" s="3"/>
      <c r="V3" s="5" t="s">
        <v>10</v>
      </c>
      <c r="W3" s="5" t="s">
        <v>11</v>
      </c>
      <c r="X3" s="5" t="s">
        <v>12</v>
      </c>
      <c r="Y3" s="2"/>
      <c r="Z3" s="2"/>
      <c r="AA3" s="2"/>
      <c r="AB3" s="2"/>
      <c r="AC3" s="2"/>
      <c r="AD3" s="5" t="s">
        <v>13</v>
      </c>
    </row>
    <row r="4" ht="30" customHeight="1" spans="1:30">
      <c r="A4" s="6"/>
      <c r="B4" s="6"/>
      <c r="C4" s="6"/>
      <c r="D4" s="6"/>
      <c r="E4" s="7" t="s">
        <v>14</v>
      </c>
      <c r="F4" s="7" t="s">
        <v>15</v>
      </c>
      <c r="G4" s="7" t="s">
        <v>16</v>
      </c>
      <c r="H4" s="7" t="s">
        <v>17</v>
      </c>
      <c r="I4" s="7" t="s">
        <v>18</v>
      </c>
      <c r="J4" s="6"/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27</v>
      </c>
      <c r="T4" s="7" t="s">
        <v>28</v>
      </c>
      <c r="U4" s="7" t="s">
        <v>29</v>
      </c>
      <c r="V4" s="6"/>
      <c r="W4" s="6"/>
      <c r="X4" s="7" t="s">
        <v>30</v>
      </c>
      <c r="Y4" s="7" t="s">
        <v>31</v>
      </c>
      <c r="Z4" s="7" t="s">
        <v>32</v>
      </c>
      <c r="AA4" s="7" t="s">
        <v>33</v>
      </c>
      <c r="AB4" s="7" t="s">
        <v>34</v>
      </c>
      <c r="AC4" s="7" t="s">
        <v>35</v>
      </c>
      <c r="AD4" s="6"/>
    </row>
    <row r="5" ht="28" customHeight="1" spans="1:30">
      <c r="A5" s="8">
        <v>1</v>
      </c>
      <c r="B5" s="4" t="s">
        <v>36</v>
      </c>
      <c r="C5" s="4"/>
      <c r="D5" s="8"/>
      <c r="E5" s="8"/>
      <c r="F5" s="8"/>
      <c r="G5" s="8"/>
      <c r="H5" s="8"/>
      <c r="I5" s="8"/>
      <c r="J5" s="8"/>
      <c r="K5" s="4" t="s">
        <v>37</v>
      </c>
      <c r="L5" s="4"/>
      <c r="M5" s="4"/>
      <c r="N5" s="4"/>
      <c r="O5" s="8"/>
      <c r="P5" s="4"/>
      <c r="Q5" s="8"/>
      <c r="R5" s="4"/>
      <c r="S5" s="8"/>
      <c r="T5" s="4"/>
      <c r="U5" s="8"/>
      <c r="V5" s="8"/>
      <c r="W5" s="8"/>
      <c r="X5" s="8"/>
      <c r="Y5" s="8"/>
      <c r="Z5" s="8"/>
      <c r="AA5" s="8"/>
      <c r="AB5" s="8"/>
      <c r="AC5" s="8"/>
      <c r="AD5" s="4" t="s">
        <v>38</v>
      </c>
    </row>
    <row r="6" ht="28" customHeight="1" spans="1:30">
      <c r="A6" s="8">
        <v>3</v>
      </c>
      <c r="B6" s="19" t="s">
        <v>39</v>
      </c>
      <c r="C6" s="4" t="s">
        <v>40</v>
      </c>
      <c r="D6" s="8" t="s">
        <v>41</v>
      </c>
      <c r="E6" s="8">
        <v>0.04</v>
      </c>
      <c r="F6" s="8">
        <v>0.25</v>
      </c>
      <c r="G6" s="8">
        <v>1</v>
      </c>
      <c r="H6" s="8">
        <v>0.04</v>
      </c>
      <c r="I6" s="8" t="s">
        <v>42</v>
      </c>
      <c r="J6" s="8" t="s">
        <v>43</v>
      </c>
      <c r="K6" s="4" t="s">
        <v>44</v>
      </c>
      <c r="L6" s="4" t="s">
        <v>45</v>
      </c>
      <c r="M6" s="4" t="s">
        <v>46</v>
      </c>
      <c r="N6" s="4" t="s">
        <v>47</v>
      </c>
      <c r="O6" s="8">
        <v>1</v>
      </c>
      <c r="P6" s="4" t="s">
        <v>48</v>
      </c>
      <c r="Q6" s="8">
        <v>2</v>
      </c>
      <c r="R6" s="4"/>
      <c r="S6" s="8"/>
      <c r="T6" s="4"/>
      <c r="U6" s="8"/>
      <c r="V6" s="8"/>
      <c r="W6" s="20" cm="1">
        <f t="array" ref="W6">IF(N(F6)=0,"",MAX(INDEX({1.5;2.5;4;6;10;16;25;35;50;70;95;120;150;185;240},MATCH(TRUE,{16;24;32;41;57;76;100;125;150;190;230;265;300;345;410}&gt;=F6,0)),INDEX({1.5;2.5;4;6;10;16;25;35;50;70;95;120;150;185;240},MATCH(TRUE,{1.5;2.5;4;6;10;16;25;35;50;70;95;120;150;185;240}&gt;=0.00128*F6*V6,0))))</f>
        <v>1.5</v>
      </c>
      <c r="X6" s="8"/>
      <c r="Y6" s="8"/>
      <c r="Z6" s="8"/>
      <c r="AA6" s="8"/>
      <c r="AB6" s="8"/>
      <c r="AC6" s="8"/>
      <c r="AD6" s="4" t="s">
        <v>49</v>
      </c>
    </row>
    <row r="7" ht="28" customHeight="1" spans="1:30">
      <c r="A7" s="8">
        <v>4</v>
      </c>
      <c r="B7" s="21"/>
      <c r="C7" s="4" t="s">
        <v>50</v>
      </c>
      <c r="D7" s="8" t="s">
        <v>41</v>
      </c>
      <c r="E7" s="8">
        <v>0.04</v>
      </c>
      <c r="F7" s="8">
        <v>0.25</v>
      </c>
      <c r="G7" s="8">
        <v>1</v>
      </c>
      <c r="H7" s="8">
        <v>0.04</v>
      </c>
      <c r="I7" s="8" t="s">
        <v>42</v>
      </c>
      <c r="J7" s="8" t="s">
        <v>43</v>
      </c>
      <c r="K7" s="4" t="s">
        <v>51</v>
      </c>
      <c r="L7" s="4" t="s">
        <v>52</v>
      </c>
      <c r="M7" s="4" t="s">
        <v>53</v>
      </c>
      <c r="N7" s="4" t="s">
        <v>47</v>
      </c>
      <c r="O7" s="8">
        <v>1</v>
      </c>
      <c r="P7" s="4" t="s">
        <v>48</v>
      </c>
      <c r="Q7" s="8">
        <v>2</v>
      </c>
      <c r="R7" s="4"/>
      <c r="S7" s="8"/>
      <c r="T7" s="4"/>
      <c r="U7" s="8"/>
      <c r="V7" s="8"/>
      <c r="W7" s="20" cm="1">
        <f t="array" ref="W7">IF(N(F7)=0,"",MAX(INDEX({1.5;2.5;4;6;10;16;25;35;50;70;95;120;150;185;240},MATCH(TRUE,{16;24;32;41;57;76;100;125;150;190;230;265;300;345;410}&gt;=F7,0)),INDEX({1.5;2.5;4;6;10;16;25;35;50;70;95;120;150;185;240},MATCH(TRUE,{1.5;2.5;4;6;10;16;25;35;50;70;95;120;150;185;240}&gt;=0.00128*F7*V7,0))))</f>
        <v>1.5</v>
      </c>
      <c r="X7" s="8"/>
      <c r="Y7" s="8"/>
      <c r="Z7" s="8"/>
      <c r="AA7" s="8"/>
      <c r="AB7" s="8"/>
      <c r="AC7" s="8"/>
      <c r="AD7" s="4" t="s">
        <v>49</v>
      </c>
    </row>
    <row r="8" ht="28" customHeight="1" spans="1:30">
      <c r="A8" s="8">
        <v>5</v>
      </c>
      <c r="B8" s="21"/>
      <c r="C8" s="4" t="s">
        <v>54</v>
      </c>
      <c r="D8" s="8" t="s">
        <v>41</v>
      </c>
      <c r="E8" s="8">
        <v>0.04</v>
      </c>
      <c r="F8" s="8">
        <v>0.25</v>
      </c>
      <c r="G8" s="8">
        <v>1</v>
      </c>
      <c r="H8" s="8">
        <v>0.04</v>
      </c>
      <c r="I8" s="8" t="s">
        <v>42</v>
      </c>
      <c r="J8" s="8" t="s">
        <v>43</v>
      </c>
      <c r="K8" s="4" t="s">
        <v>55</v>
      </c>
      <c r="L8" s="4" t="s">
        <v>56</v>
      </c>
      <c r="M8" s="4" t="s">
        <v>57</v>
      </c>
      <c r="N8" s="4" t="s">
        <v>47</v>
      </c>
      <c r="O8" s="8">
        <v>1</v>
      </c>
      <c r="P8" s="4" t="s">
        <v>48</v>
      </c>
      <c r="Q8" s="8">
        <v>2</v>
      </c>
      <c r="R8" s="4"/>
      <c r="S8" s="8"/>
      <c r="T8" s="4"/>
      <c r="U8" s="8"/>
      <c r="V8" s="8"/>
      <c r="W8" s="20" cm="1">
        <f t="array" ref="W8">IF(N(F8)=0,"",MAX(INDEX({1.5;2.5;4;6;10;16;25;35;50;70;95;120;150;185;240},MATCH(TRUE,{16;24;32;41;57;76;100;125;150;190;230;265;300;345;410}&gt;=F8,0)),INDEX({1.5;2.5;4;6;10;16;25;35;50;70;95;120;150;185;240},MATCH(TRUE,{1.5;2.5;4;6;10;16;25;35;50;70;95;120;150;185;240}&gt;=0.00128*F8*V8,0))))</f>
        <v>1.5</v>
      </c>
      <c r="X8" s="8"/>
      <c r="Y8" s="8"/>
      <c r="Z8" s="8"/>
      <c r="AA8" s="8"/>
      <c r="AB8" s="8"/>
      <c r="AC8" s="8"/>
      <c r="AD8" s="4" t="s">
        <v>49</v>
      </c>
    </row>
    <row r="9" ht="28" customHeight="1" spans="1:30">
      <c r="A9" s="8">
        <v>6</v>
      </c>
      <c r="B9" s="21"/>
      <c r="C9" s="4" t="s">
        <v>58</v>
      </c>
      <c r="D9" s="8" t="s">
        <v>41</v>
      </c>
      <c r="E9" s="8">
        <v>0.04</v>
      </c>
      <c r="F9" s="8">
        <v>0.25</v>
      </c>
      <c r="G9" s="8">
        <v>1</v>
      </c>
      <c r="H9" s="8">
        <v>0.04</v>
      </c>
      <c r="I9" s="8" t="s">
        <v>42</v>
      </c>
      <c r="J9" s="8" t="s">
        <v>43</v>
      </c>
      <c r="K9" s="4" t="s">
        <v>59</v>
      </c>
      <c r="L9" s="4" t="s">
        <v>60</v>
      </c>
      <c r="M9" s="4" t="s">
        <v>61</v>
      </c>
      <c r="N9" s="4" t="s">
        <v>47</v>
      </c>
      <c r="O9" s="8">
        <v>1</v>
      </c>
      <c r="P9" s="4" t="s">
        <v>48</v>
      </c>
      <c r="Q9" s="8">
        <v>2</v>
      </c>
      <c r="R9" s="4"/>
      <c r="S9" s="8"/>
      <c r="T9" s="4"/>
      <c r="U9" s="8"/>
      <c r="V9" s="8"/>
      <c r="W9" s="20" cm="1">
        <f t="array" ref="W9">IF(N(F9)=0,"",MAX(INDEX({1.5;2.5;4;6;10;16;25;35;50;70;95;120;150;185;240},MATCH(TRUE,{16;24;32;41;57;76;100;125;150;190;230;265;300;345;410}&gt;=F9,0)),INDEX({1.5;2.5;4;6;10;16;25;35;50;70;95;120;150;185;240},MATCH(TRUE,{1.5;2.5;4;6;10;16;25;35;50;70;95;120;150;185;240}&gt;=0.00128*F9*V9,0))))</f>
        <v>1.5</v>
      </c>
      <c r="X9" s="8"/>
      <c r="Y9" s="8"/>
      <c r="Z9" s="8"/>
      <c r="AA9" s="8"/>
      <c r="AB9" s="8"/>
      <c r="AC9" s="8"/>
      <c r="AD9" s="4" t="s">
        <v>49</v>
      </c>
    </row>
    <row r="10" ht="28" customHeight="1" spans="1:30">
      <c r="A10" s="8">
        <v>7</v>
      </c>
      <c r="B10" s="21"/>
      <c r="C10" s="4" t="s">
        <v>62</v>
      </c>
      <c r="D10" s="8" t="s">
        <v>41</v>
      </c>
      <c r="E10" s="8">
        <v>0.04</v>
      </c>
      <c r="F10" s="8">
        <v>0.25</v>
      </c>
      <c r="G10" s="8">
        <v>1</v>
      </c>
      <c r="H10" s="8">
        <v>0.04</v>
      </c>
      <c r="I10" s="8" t="s">
        <v>42</v>
      </c>
      <c r="J10" s="8" t="s">
        <v>43</v>
      </c>
      <c r="K10" s="4" t="s">
        <v>63</v>
      </c>
      <c r="L10" s="4" t="s">
        <v>64</v>
      </c>
      <c r="M10" s="4" t="s">
        <v>65</v>
      </c>
      <c r="N10" s="4" t="s">
        <v>47</v>
      </c>
      <c r="O10" s="8">
        <v>1</v>
      </c>
      <c r="P10" s="4" t="s">
        <v>48</v>
      </c>
      <c r="Q10" s="8">
        <v>2</v>
      </c>
      <c r="R10" s="4"/>
      <c r="S10" s="8"/>
      <c r="T10" s="4"/>
      <c r="U10" s="8"/>
      <c r="V10" s="8"/>
      <c r="W10" s="20" cm="1">
        <f t="array" ref="W10">IF(N(F10)=0,"",MAX(INDEX({1.5;2.5;4;6;10;16;25;35;50;70;95;120;150;185;240},MATCH(TRUE,{16;24;32;41;57;76;100;125;150;190;230;265;300;345;410}&gt;=F10,0)),INDEX({1.5;2.5;4;6;10;16;25;35;50;70;95;120;150;185;240},MATCH(TRUE,{1.5;2.5;4;6;10;16;25;35;50;70;95;120;150;185;240}&gt;=0.00128*F10*V10,0))))</f>
        <v>1.5</v>
      </c>
      <c r="X10" s="8"/>
      <c r="Y10" s="8"/>
      <c r="Z10" s="8"/>
      <c r="AA10" s="8"/>
      <c r="AB10" s="8"/>
      <c r="AC10" s="8"/>
      <c r="AD10" s="4" t="s">
        <v>49</v>
      </c>
    </row>
    <row r="11" ht="28" customHeight="1" spans="1:30">
      <c r="A11" s="8">
        <v>8</v>
      </c>
      <c r="B11" s="21"/>
      <c r="C11" s="4" t="s">
        <v>66</v>
      </c>
      <c r="D11" s="8" t="s">
        <v>41</v>
      </c>
      <c r="E11" s="8">
        <v>0.04</v>
      </c>
      <c r="F11" s="8">
        <v>0.25</v>
      </c>
      <c r="G11" s="8">
        <v>1</v>
      </c>
      <c r="H11" s="8">
        <v>0.04</v>
      </c>
      <c r="I11" s="8" t="s">
        <v>42</v>
      </c>
      <c r="J11" s="8" t="s">
        <v>43</v>
      </c>
      <c r="K11" s="4" t="s">
        <v>67</v>
      </c>
      <c r="L11" s="4" t="s">
        <v>68</v>
      </c>
      <c r="M11" s="4" t="s">
        <v>69</v>
      </c>
      <c r="N11" s="4" t="s">
        <v>47</v>
      </c>
      <c r="O11" s="8">
        <v>1</v>
      </c>
      <c r="P11" s="4" t="s">
        <v>48</v>
      </c>
      <c r="Q11" s="8">
        <v>2</v>
      </c>
      <c r="R11" s="4"/>
      <c r="S11" s="8"/>
      <c r="T11" s="4"/>
      <c r="U11" s="8"/>
      <c r="V11" s="8"/>
      <c r="W11" s="20" cm="1">
        <f t="array" ref="W11">IF(N(F11)=0,"",MAX(INDEX({1.5;2.5;4;6;10;16;25;35;50;70;95;120;150;185;240},MATCH(TRUE,{16;24;32;41;57;76;100;125;150;190;230;265;300;345;410}&gt;=F11,0)),INDEX({1.5;2.5;4;6;10;16;25;35;50;70;95;120;150;185;240},MATCH(TRUE,{1.5;2.5;4;6;10;16;25;35;50;70;95;120;150;185;240}&gt;=0.00128*F11*V11,0))))</f>
        <v>1.5</v>
      </c>
      <c r="X11" s="8"/>
      <c r="Y11" s="8"/>
      <c r="Z11" s="8"/>
      <c r="AA11" s="8"/>
      <c r="AB11" s="8"/>
      <c r="AC11" s="8"/>
      <c r="AD11" s="4" t="s">
        <v>49</v>
      </c>
    </row>
    <row r="12" ht="28" customHeight="1" spans="1:30">
      <c r="A12" s="8">
        <v>9</v>
      </c>
      <c r="B12" s="22"/>
      <c r="C12" s="4" t="s">
        <v>70</v>
      </c>
      <c r="D12" s="8" t="s">
        <v>71</v>
      </c>
      <c r="E12" s="8">
        <v>15</v>
      </c>
      <c r="F12" s="8">
        <v>30</v>
      </c>
      <c r="G12" s="8">
        <v>1</v>
      </c>
      <c r="H12" s="8">
        <v>15</v>
      </c>
      <c r="I12" s="8" t="s">
        <v>42</v>
      </c>
      <c r="J12" s="8" t="s">
        <v>43</v>
      </c>
      <c r="K12" s="4" t="s">
        <v>72</v>
      </c>
      <c r="L12" s="4" t="s">
        <v>73</v>
      </c>
      <c r="M12" s="4" t="s">
        <v>74</v>
      </c>
      <c r="N12" s="4" t="s">
        <v>47</v>
      </c>
      <c r="O12" s="8">
        <v>1</v>
      </c>
      <c r="P12" s="4" t="s">
        <v>48</v>
      </c>
      <c r="Q12" s="8">
        <v>2</v>
      </c>
      <c r="R12" s="4" t="s">
        <v>75</v>
      </c>
      <c r="S12" s="8">
        <v>1</v>
      </c>
      <c r="T12" s="4"/>
      <c r="U12" s="8"/>
      <c r="V12" s="8"/>
      <c r="W12" s="20" cm="1">
        <f t="array" ref="W12">IF(N(F12)=0,"",MAX(INDEX({1.5;2.5;4;6;10;16;25;35;50;70;95;120;150;185;240},MATCH(TRUE,{16;24;32;41;57;76;100;125;150;190;230;265;300;345;410}&gt;=F12,0)),INDEX({1.5;2.5;4;6;10;16;25;35;50;70;95;120;150;185;240},MATCH(TRUE,{1.5;2.5;4;6;10;16;25;35;50;70;95;120;150;185;240}&gt;=0.00128*F12*V12,0))))</f>
        <v>4</v>
      </c>
      <c r="X12" s="8"/>
      <c r="Y12" s="8"/>
      <c r="Z12" s="8"/>
      <c r="AA12" s="8"/>
      <c r="AB12" s="8"/>
      <c r="AC12" s="8"/>
      <c r="AD12" s="4" t="s">
        <v>76</v>
      </c>
    </row>
    <row r="13" ht="28" customHeight="1" spans="1:30">
      <c r="A13" s="8">
        <v>10</v>
      </c>
      <c r="B13" s="19" t="s">
        <v>77</v>
      </c>
      <c r="C13" s="4" t="s">
        <v>78</v>
      </c>
      <c r="D13" s="8" t="s">
        <v>71</v>
      </c>
      <c r="E13" s="8">
        <v>37</v>
      </c>
      <c r="F13" s="8">
        <v>74</v>
      </c>
      <c r="G13" s="8">
        <v>1</v>
      </c>
      <c r="H13" s="8">
        <v>37</v>
      </c>
      <c r="I13" s="8" t="s">
        <v>42</v>
      </c>
      <c r="J13" s="8" t="s">
        <v>79</v>
      </c>
      <c r="K13" s="4" t="s">
        <v>80</v>
      </c>
      <c r="L13" s="4" t="s">
        <v>81</v>
      </c>
      <c r="M13" s="4" t="s">
        <v>82</v>
      </c>
      <c r="N13" s="4" t="s">
        <v>47</v>
      </c>
      <c r="O13" s="8">
        <v>1</v>
      </c>
      <c r="P13" s="4" t="s">
        <v>83</v>
      </c>
      <c r="Q13" s="8">
        <v>3</v>
      </c>
      <c r="R13" s="4" t="s">
        <v>75</v>
      </c>
      <c r="S13" s="8">
        <v>1</v>
      </c>
      <c r="T13" s="4"/>
      <c r="U13" s="8"/>
      <c r="V13" s="8"/>
      <c r="W13" s="23" cm="1">
        <f t="array" ref="W13">IF(N(F13/SQRT(3))=0,"",MAX(INDEX({1.5;2.5;4;6;10;16;25;35;50;70;95;120;150;185;240},MATCH(TRUE,{16;24;32;41;57;76;100;125;150;190;230;265;300;345;410}&gt;=F13/SQRT(3),0)),INDEX({1.5;2.5;4;6;10;16;25;35;50;70;95;120;150;185;240},MATCH(TRUE,{1.5;2.5;4;6;10;16;25;35;50;70;95;120;150;185;240}&gt;=0.00128*F13/SQRT(3)*V13,0))))</f>
        <v>10</v>
      </c>
      <c r="X13" s="8"/>
      <c r="Y13" s="8"/>
      <c r="Z13" s="8"/>
      <c r="AA13" s="8"/>
      <c r="AB13" s="8"/>
      <c r="AC13" s="8"/>
      <c r="AD13" s="4" t="s">
        <v>76</v>
      </c>
    </row>
    <row r="14" ht="28" customHeight="1" spans="1:30">
      <c r="A14" s="8">
        <v>11</v>
      </c>
      <c r="B14" s="21"/>
      <c r="C14" s="4" t="s">
        <v>84</v>
      </c>
      <c r="D14" s="8" t="s">
        <v>41</v>
      </c>
      <c r="E14" s="8">
        <v>0.03</v>
      </c>
      <c r="F14" s="8">
        <v>0.2</v>
      </c>
      <c r="G14" s="8">
        <v>1</v>
      </c>
      <c r="H14" s="8">
        <v>0.03</v>
      </c>
      <c r="I14" s="8" t="s">
        <v>42</v>
      </c>
      <c r="J14" s="8" t="s">
        <v>43</v>
      </c>
      <c r="K14" s="4" t="s">
        <v>85</v>
      </c>
      <c r="L14" s="4" t="s">
        <v>86</v>
      </c>
      <c r="M14" s="4" t="s">
        <v>87</v>
      </c>
      <c r="N14" s="4" t="s">
        <v>47</v>
      </c>
      <c r="O14" s="8">
        <v>1</v>
      </c>
      <c r="P14" s="4" t="s">
        <v>48</v>
      </c>
      <c r="Q14" s="8">
        <v>2</v>
      </c>
      <c r="R14" s="4"/>
      <c r="S14" s="8"/>
      <c r="T14" s="4"/>
      <c r="U14" s="8"/>
      <c r="V14" s="8"/>
      <c r="W14" s="20" cm="1">
        <f t="array" ref="W14">IF(N(F14)=0,"",MAX(INDEX({1.5;2.5;4;6;10;16;25;35;50;70;95;120;150;185;240},MATCH(TRUE,{16;24;32;41;57;76;100;125;150;190;230;265;300;345;410}&gt;=F14,0)),INDEX({1.5;2.5;4;6;10;16;25;35;50;70;95;120;150;185;240},MATCH(TRUE,{1.5;2.5;4;6;10;16;25;35;50;70;95;120;150;185;240}&gt;=0.00128*F14*V14,0))))</f>
        <v>1.5</v>
      </c>
      <c r="X14" s="8"/>
      <c r="Y14" s="8"/>
      <c r="Z14" s="8"/>
      <c r="AA14" s="8"/>
      <c r="AB14" s="8"/>
      <c r="AC14" s="8"/>
      <c r="AD14" s="4" t="s">
        <v>88</v>
      </c>
    </row>
    <row r="15" ht="28" customHeight="1" spans="1:30">
      <c r="A15" s="8">
        <v>12</v>
      </c>
      <c r="B15" s="21"/>
      <c r="C15" s="4" t="s">
        <v>89</v>
      </c>
      <c r="D15" s="8" t="s">
        <v>41</v>
      </c>
      <c r="E15" s="8">
        <v>0.03</v>
      </c>
      <c r="F15" s="8">
        <v>0.2</v>
      </c>
      <c r="G15" s="8">
        <v>1</v>
      </c>
      <c r="H15" s="8">
        <v>0.03</v>
      </c>
      <c r="I15" s="8" t="s">
        <v>42</v>
      </c>
      <c r="J15" s="8" t="s">
        <v>43</v>
      </c>
      <c r="K15" s="4" t="s">
        <v>90</v>
      </c>
      <c r="L15" s="4" t="s">
        <v>91</v>
      </c>
      <c r="M15" s="4" t="s">
        <v>92</v>
      </c>
      <c r="N15" s="4" t="s">
        <v>47</v>
      </c>
      <c r="O15" s="8">
        <v>1</v>
      </c>
      <c r="P15" s="4" t="s">
        <v>48</v>
      </c>
      <c r="Q15" s="8">
        <v>2</v>
      </c>
      <c r="R15" s="4"/>
      <c r="S15" s="8"/>
      <c r="T15" s="4"/>
      <c r="U15" s="8"/>
      <c r="V15" s="8"/>
      <c r="W15" s="20" cm="1">
        <f t="array" ref="W15">IF(N(F15)=0,"",MAX(INDEX({1.5;2.5;4;6;10;16;25;35;50;70;95;120;150;185;240},MATCH(TRUE,{16;24;32;41;57;76;100;125;150;190;230;265;300;345;410}&gt;=F15,0)),INDEX({1.5;2.5;4;6;10;16;25;35;50;70;95;120;150;185;240},MATCH(TRUE,{1.5;2.5;4;6;10;16;25;35;50;70;95;120;150;185;240}&gt;=0.00128*F15*V15,0))))</f>
        <v>1.5</v>
      </c>
      <c r="X15" s="8"/>
      <c r="Y15" s="8"/>
      <c r="Z15" s="8"/>
      <c r="AA15" s="8"/>
      <c r="AB15" s="8"/>
      <c r="AC15" s="8"/>
      <c r="AD15" s="4" t="s">
        <v>88</v>
      </c>
    </row>
    <row r="16" ht="28" customHeight="1" spans="1:30">
      <c r="A16" s="8">
        <v>13</v>
      </c>
      <c r="B16" s="22"/>
      <c r="C16" s="4" t="s">
        <v>93</v>
      </c>
      <c r="D16" s="8" t="s">
        <v>71</v>
      </c>
      <c r="E16" s="8">
        <v>3</v>
      </c>
      <c r="F16" s="8">
        <v>6</v>
      </c>
      <c r="G16" s="8">
        <v>1</v>
      </c>
      <c r="H16" s="8">
        <v>3</v>
      </c>
      <c r="I16" s="8" t="s">
        <v>42</v>
      </c>
      <c r="J16" s="8" t="s">
        <v>43</v>
      </c>
      <c r="K16" s="4" t="s">
        <v>94</v>
      </c>
      <c r="L16" s="4" t="s">
        <v>95</v>
      </c>
      <c r="M16" s="4" t="s">
        <v>96</v>
      </c>
      <c r="N16" s="4" t="s">
        <v>47</v>
      </c>
      <c r="O16" s="8">
        <v>1</v>
      </c>
      <c r="P16" s="4" t="s">
        <v>48</v>
      </c>
      <c r="Q16" s="8">
        <v>2</v>
      </c>
      <c r="R16" s="4" t="s">
        <v>75</v>
      </c>
      <c r="S16" s="8">
        <v>1</v>
      </c>
      <c r="T16" s="4"/>
      <c r="U16" s="8"/>
      <c r="V16" s="8"/>
      <c r="W16" s="20" cm="1">
        <f t="array" ref="W16">IF(N(F16)=0,"",MAX(INDEX({1.5;2.5;4;6;10;16;25;35;50;70;95;120;150;185;240},MATCH(TRUE,{16;24;32;41;57;76;100;125;150;190;230;265;300;345;410}&gt;=F16,0)),INDEX({1.5;2.5;4;6;10;16;25;35;50;70;95;120;150;185;240},MATCH(TRUE,{1.5;2.5;4;6;10;16;25;35;50;70;95;120;150;185;240}&gt;=0.00128*F16*V16,0))))</f>
        <v>1.5</v>
      </c>
      <c r="X16" s="8"/>
      <c r="Y16" s="8"/>
      <c r="Z16" s="8"/>
      <c r="AA16" s="8"/>
      <c r="AB16" s="8"/>
      <c r="AC16" s="8"/>
      <c r="AD16" s="4"/>
    </row>
    <row r="17" ht="28" customHeight="1" spans="1:30">
      <c r="A17" s="8">
        <v>14</v>
      </c>
      <c r="B17" s="19" t="s">
        <v>97</v>
      </c>
      <c r="C17" s="4" t="s">
        <v>98</v>
      </c>
      <c r="D17" s="8" t="s">
        <v>98</v>
      </c>
      <c r="E17" s="8">
        <v>132</v>
      </c>
      <c r="F17" s="8">
        <v>264</v>
      </c>
      <c r="G17" s="8">
        <v>1</v>
      </c>
      <c r="H17" s="8">
        <v>132</v>
      </c>
      <c r="I17" s="8" t="s">
        <v>42</v>
      </c>
      <c r="J17" s="8" t="s">
        <v>79</v>
      </c>
      <c r="K17" s="4" t="s">
        <v>99</v>
      </c>
      <c r="L17" s="4" t="s">
        <v>100</v>
      </c>
      <c r="M17" s="4" t="s">
        <v>101</v>
      </c>
      <c r="N17" s="4" t="s">
        <v>47</v>
      </c>
      <c r="O17" s="8">
        <v>1</v>
      </c>
      <c r="P17" s="4" t="s">
        <v>83</v>
      </c>
      <c r="Q17" s="8">
        <v>3</v>
      </c>
      <c r="R17" s="4" t="s">
        <v>75</v>
      </c>
      <c r="S17" s="8">
        <v>1</v>
      </c>
      <c r="T17" s="4"/>
      <c r="U17" s="8"/>
      <c r="V17" s="8"/>
      <c r="W17" s="23" cm="1">
        <f t="array" ref="W17">IF(N(F17/SQRT(3))=0,"",MAX(INDEX({1.5;2.5;4;6;10;16;25;35;50;70;95;120;150;185;240},MATCH(TRUE,{16;24;32;41;57;76;100;125;150;190;230;265;300;345;410}&gt;=F17/SQRT(3),0)),INDEX({1.5;2.5;4;6;10;16;25;35;50;70;95;120;150;185;240},MATCH(TRUE,{1.5;2.5;4;6;10;16;25;35;50;70;95;120;150;185;240}&gt;=0.00128*F17/SQRT(3)*V17,0))))</f>
        <v>70</v>
      </c>
      <c r="X17" s="8"/>
      <c r="Y17" s="8"/>
      <c r="Z17" s="8"/>
      <c r="AA17" s="8"/>
      <c r="AB17" s="8"/>
      <c r="AC17" s="8"/>
      <c r="AD17" s="4" t="s">
        <v>102</v>
      </c>
    </row>
    <row r="18" ht="28" customHeight="1" spans="1:30">
      <c r="A18" s="8">
        <v>15</v>
      </c>
      <c r="B18" s="21"/>
      <c r="C18" s="4" t="s">
        <v>103</v>
      </c>
      <c r="D18" s="8" t="s">
        <v>104</v>
      </c>
      <c r="E18" s="8">
        <v>4</v>
      </c>
      <c r="F18" s="8">
        <v>8</v>
      </c>
      <c r="G18" s="8">
        <v>1</v>
      </c>
      <c r="H18" s="8">
        <v>4</v>
      </c>
      <c r="I18" s="8" t="s">
        <v>42</v>
      </c>
      <c r="J18" s="8" t="s">
        <v>43</v>
      </c>
      <c r="K18" s="4" t="s">
        <v>105</v>
      </c>
      <c r="L18" s="4" t="s">
        <v>106</v>
      </c>
      <c r="M18" s="4" t="s">
        <v>107</v>
      </c>
      <c r="N18" s="4" t="s">
        <v>47</v>
      </c>
      <c r="O18" s="8">
        <v>1</v>
      </c>
      <c r="P18" s="4" t="s">
        <v>48</v>
      </c>
      <c r="Q18" s="8">
        <v>2</v>
      </c>
      <c r="R18" s="4"/>
      <c r="S18" s="8"/>
      <c r="T18" s="4"/>
      <c r="U18" s="8"/>
      <c r="V18" s="8"/>
      <c r="W18" s="20" cm="1">
        <f t="array" ref="W18">IF(N(F18)=0,"",MAX(INDEX({1.5;2.5;4;6;10;16;25;35;50;70;95;120;150;185;240},MATCH(TRUE,{16;24;32;41;57;76;100;125;150;190;230;265;300;345;410}&gt;=F18,0)),INDEX({1.5;2.5;4;6;10;16;25;35;50;70;95;120;150;185;240},MATCH(TRUE,{1.5;2.5;4;6;10;16;25;35;50;70;95;120;150;185;240}&gt;=0.00128*F18*V18,0))))</f>
        <v>1.5</v>
      </c>
      <c r="X18" s="8"/>
      <c r="Y18" s="8"/>
      <c r="Z18" s="8"/>
      <c r="AA18" s="8"/>
      <c r="AB18" s="8"/>
      <c r="AC18" s="8"/>
      <c r="AD18" s="4"/>
    </row>
    <row r="19" ht="28" customHeight="1" spans="1:30">
      <c r="A19" s="8">
        <v>16</v>
      </c>
      <c r="B19" s="21"/>
      <c r="C19" s="4" t="s">
        <v>108</v>
      </c>
      <c r="D19" s="8" t="s">
        <v>108</v>
      </c>
      <c r="E19" s="8">
        <v>9.2</v>
      </c>
      <c r="F19" s="8">
        <v>18.4</v>
      </c>
      <c r="G19" s="8">
        <v>1</v>
      </c>
      <c r="H19" s="8">
        <v>9.2</v>
      </c>
      <c r="I19" s="8" t="s">
        <v>42</v>
      </c>
      <c r="J19" s="8" t="s">
        <v>43</v>
      </c>
      <c r="K19" s="4" t="s">
        <v>109</v>
      </c>
      <c r="L19" s="4" t="s">
        <v>110</v>
      </c>
      <c r="M19" s="4" t="s">
        <v>111</v>
      </c>
      <c r="N19" s="4" t="s">
        <v>47</v>
      </c>
      <c r="O19" s="8">
        <v>1</v>
      </c>
      <c r="P19" s="4" t="s">
        <v>48</v>
      </c>
      <c r="Q19" s="8">
        <v>2</v>
      </c>
      <c r="R19" s="4"/>
      <c r="S19" s="8"/>
      <c r="T19" s="4"/>
      <c r="U19" s="8"/>
      <c r="V19" s="8"/>
      <c r="W19" s="20" cm="1">
        <f t="array" ref="W19">IF(N(F19)=0,"",MAX(INDEX({1.5;2.5;4;6;10;16;25;35;50;70;95;120;150;185;240},MATCH(TRUE,{16;24;32;41;57;76;100;125;150;190;230;265;300;345;410}&gt;=F19,0)),INDEX({1.5;2.5;4;6;10;16;25;35;50;70;95;120;150;185;240},MATCH(TRUE,{1.5;2.5;4;6;10;16;25;35;50;70;95;120;150;185;240}&gt;=0.00128*F19*V19,0))))</f>
        <v>2.5</v>
      </c>
      <c r="X19" s="8"/>
      <c r="Y19" s="8"/>
      <c r="Z19" s="8"/>
      <c r="AA19" s="8"/>
      <c r="AB19" s="8"/>
      <c r="AC19" s="8"/>
      <c r="AD19" s="4"/>
    </row>
    <row r="20" ht="28" customHeight="1" spans="1:30">
      <c r="A20" s="8">
        <v>17</v>
      </c>
      <c r="B20" s="21"/>
      <c r="C20" s="4" t="s">
        <v>112</v>
      </c>
      <c r="D20" s="8" t="s">
        <v>113</v>
      </c>
      <c r="E20" s="8">
        <v>0.37</v>
      </c>
      <c r="F20" s="8">
        <v>1.5</v>
      </c>
      <c r="G20" s="8">
        <v>1</v>
      </c>
      <c r="H20" s="8">
        <v>0.37</v>
      </c>
      <c r="I20" s="8" t="s">
        <v>114</v>
      </c>
      <c r="J20" s="8" t="s">
        <v>43</v>
      </c>
      <c r="K20" s="4" t="s">
        <v>115</v>
      </c>
      <c r="L20" s="4" t="s">
        <v>116</v>
      </c>
      <c r="M20" s="4" t="s">
        <v>117</v>
      </c>
      <c r="N20" s="4" t="s">
        <v>47</v>
      </c>
      <c r="O20" s="8">
        <v>1</v>
      </c>
      <c r="P20" s="4" t="s">
        <v>48</v>
      </c>
      <c r="Q20" s="8">
        <v>2</v>
      </c>
      <c r="R20" s="4"/>
      <c r="S20" s="8"/>
      <c r="T20" s="4"/>
      <c r="U20" s="8"/>
      <c r="V20" s="8"/>
      <c r="W20" s="20" cm="1">
        <f t="array" ref="W20">IF(N(F20)=0,"",MAX(INDEX({1.5;2.5;4;6;10;16;25;35;50;70;95;120;150;185;240},MATCH(TRUE,{16;24;32;41;57;76;100;125;150;190;230;265;300;345;410}&gt;=F20,0)),INDEX({1.5;2.5;4;6;10;16;25;35;50;70;95;120;150;185;240},MATCH(TRUE,{1.5;2.5;4;6;10;16;25;35;50;70;95;120;150;185;240}&gt;=0.00128*F20*V20,0))))</f>
        <v>1.5</v>
      </c>
      <c r="X20" s="8"/>
      <c r="Y20" s="8"/>
      <c r="Z20" s="8"/>
      <c r="AA20" s="8"/>
      <c r="AB20" s="8"/>
      <c r="AC20" s="8"/>
      <c r="AD20" s="4"/>
    </row>
    <row r="21" ht="28" customHeight="1" spans="1:30">
      <c r="A21" s="8">
        <v>18</v>
      </c>
      <c r="B21" s="21"/>
      <c r="C21" s="4" t="s">
        <v>118</v>
      </c>
      <c r="D21" s="8" t="s">
        <v>113</v>
      </c>
      <c r="E21" s="8">
        <v>0.37</v>
      </c>
      <c r="F21" s="8">
        <v>1.5</v>
      </c>
      <c r="G21" s="8">
        <v>1</v>
      </c>
      <c r="H21" s="8">
        <v>0.37</v>
      </c>
      <c r="I21" s="8" t="s">
        <v>114</v>
      </c>
      <c r="J21" s="8" t="s">
        <v>43</v>
      </c>
      <c r="K21" s="4" t="s">
        <v>119</v>
      </c>
      <c r="L21" s="4" t="s">
        <v>120</v>
      </c>
      <c r="M21" s="4" t="s">
        <v>121</v>
      </c>
      <c r="N21" s="4" t="s">
        <v>47</v>
      </c>
      <c r="O21" s="8">
        <v>1</v>
      </c>
      <c r="P21" s="4" t="s">
        <v>48</v>
      </c>
      <c r="Q21" s="8">
        <v>2</v>
      </c>
      <c r="R21" s="4"/>
      <c r="S21" s="8"/>
      <c r="T21" s="4"/>
      <c r="U21" s="8"/>
      <c r="V21" s="8"/>
      <c r="W21" s="20" cm="1">
        <f t="array" ref="W21">IF(N(F21)=0,"",MAX(INDEX({1.5;2.5;4;6;10;16;25;35;50;70;95;120;150;185;240},MATCH(TRUE,{16;24;32;41;57;76;100;125;150;190;230;265;300;345;410}&gt;=F21,0)),INDEX({1.5;2.5;4;6;10;16;25;35;50;70;95;120;150;185;240},MATCH(TRUE,{1.5;2.5;4;6;10;16;25;35;50;70;95;120;150;185;240}&gt;=0.00128*F21*V21,0))))</f>
        <v>1.5</v>
      </c>
      <c r="X21" s="8"/>
      <c r="Y21" s="8"/>
      <c r="Z21" s="8"/>
      <c r="AA21" s="8"/>
      <c r="AB21" s="8"/>
      <c r="AC21" s="8"/>
      <c r="AD21" s="4"/>
    </row>
    <row r="22" ht="28" customHeight="1" spans="1:30">
      <c r="A22" s="8">
        <v>19</v>
      </c>
      <c r="B22" s="22"/>
      <c r="C22" s="4" t="s">
        <v>122</v>
      </c>
      <c r="D22" s="8" t="s">
        <v>113</v>
      </c>
      <c r="E22" s="8">
        <v>0.37</v>
      </c>
      <c r="F22" s="8">
        <v>1.5</v>
      </c>
      <c r="G22" s="8">
        <v>1</v>
      </c>
      <c r="H22" s="8">
        <v>0.37</v>
      </c>
      <c r="I22" s="8" t="s">
        <v>114</v>
      </c>
      <c r="J22" s="8" t="s">
        <v>43</v>
      </c>
      <c r="K22" s="4" t="s">
        <v>123</v>
      </c>
      <c r="L22" s="4" t="s">
        <v>124</v>
      </c>
      <c r="M22" s="4" t="s">
        <v>125</v>
      </c>
      <c r="N22" s="4" t="s">
        <v>47</v>
      </c>
      <c r="O22" s="8">
        <v>1</v>
      </c>
      <c r="P22" s="4" t="s">
        <v>48</v>
      </c>
      <c r="Q22" s="8">
        <v>2</v>
      </c>
      <c r="R22" s="4"/>
      <c r="S22" s="8"/>
      <c r="T22" s="4"/>
      <c r="U22" s="8"/>
      <c r="V22" s="8"/>
      <c r="W22" s="20" cm="1">
        <f t="array" ref="W22">IF(N(F22)=0,"",MAX(INDEX({1.5;2.5;4;6;10;16;25;35;50;70;95;120;150;185;240},MATCH(TRUE,{16;24;32;41;57;76;100;125;150;190;230;265;300;345;410}&gt;=F22,0)),INDEX({1.5;2.5;4;6;10;16;25;35;50;70;95;120;150;185;240},MATCH(TRUE,{1.5;2.5;4;6;10;16;25;35;50;70;95;120;150;185;240}&gt;=0.00128*F22*V22,0))))</f>
        <v>1.5</v>
      </c>
      <c r="X22" s="8"/>
      <c r="Y22" s="8"/>
      <c r="Z22" s="8"/>
      <c r="AA22" s="8"/>
      <c r="AB22" s="8"/>
      <c r="AC22" s="8"/>
      <c r="AD22" s="4"/>
    </row>
    <row r="23" ht="28" customHeight="1" spans="1:30">
      <c r="A23" s="8">
        <v>20</v>
      </c>
      <c r="B23" s="19" t="s">
        <v>126</v>
      </c>
      <c r="C23" s="4" t="s">
        <v>127</v>
      </c>
      <c r="D23" s="8" t="s">
        <v>127</v>
      </c>
      <c r="E23" s="8">
        <v>3</v>
      </c>
      <c r="F23" s="8">
        <v>6</v>
      </c>
      <c r="G23" s="8">
        <v>1</v>
      </c>
      <c r="H23" s="8">
        <v>3</v>
      </c>
      <c r="I23" s="8" t="s">
        <v>42</v>
      </c>
      <c r="J23" s="8" t="s">
        <v>43</v>
      </c>
      <c r="K23" s="4" t="s">
        <v>128</v>
      </c>
      <c r="L23" s="4" t="s">
        <v>129</v>
      </c>
      <c r="M23" s="4" t="s">
        <v>130</v>
      </c>
      <c r="N23" s="4" t="s">
        <v>47</v>
      </c>
      <c r="O23" s="8">
        <v>1</v>
      </c>
      <c r="P23" s="4" t="s">
        <v>48</v>
      </c>
      <c r="Q23" s="8">
        <v>2</v>
      </c>
      <c r="R23" s="4"/>
      <c r="S23" s="8"/>
      <c r="T23" s="4"/>
      <c r="U23" s="8"/>
      <c r="V23" s="8"/>
      <c r="W23" s="20" cm="1">
        <f t="array" ref="W23">IF(N(F23)=0,"",MAX(INDEX({1.5;2.5;4;6;10;16;25;35;50;70;95;120;150;185;240},MATCH(TRUE,{16;24;32;41;57;76;100;125;150;190;230;265;300;345;410}&gt;=F23,0)),INDEX({1.5;2.5;4;6;10;16;25;35;50;70;95;120;150;185;240},MATCH(TRUE,{1.5;2.5;4;6;10;16;25;35;50;70;95;120;150;185;240}&gt;=0.00128*F23*V23,0))))</f>
        <v>1.5</v>
      </c>
      <c r="X23" s="8"/>
      <c r="Y23" s="8"/>
      <c r="Z23" s="8"/>
      <c r="AA23" s="8"/>
      <c r="AB23" s="8"/>
      <c r="AC23" s="8"/>
      <c r="AD23" s="4" t="s">
        <v>131</v>
      </c>
    </row>
    <row r="24" ht="28" customHeight="1" spans="1:30">
      <c r="A24" s="8">
        <v>21</v>
      </c>
      <c r="B24" s="22"/>
      <c r="C24" s="4" t="s">
        <v>132</v>
      </c>
      <c r="D24" s="8" t="s">
        <v>132</v>
      </c>
      <c r="E24" s="8">
        <v>0.2</v>
      </c>
      <c r="F24" s="8">
        <v>1</v>
      </c>
      <c r="G24" s="8">
        <v>1</v>
      </c>
      <c r="H24" s="8">
        <v>0.2</v>
      </c>
      <c r="I24" s="8" t="s">
        <v>114</v>
      </c>
      <c r="J24" s="8" t="s">
        <v>133</v>
      </c>
      <c r="K24" s="4" t="s">
        <v>134</v>
      </c>
      <c r="L24" s="4" t="s">
        <v>135</v>
      </c>
      <c r="M24" s="4" t="s">
        <v>136</v>
      </c>
      <c r="N24" s="4" t="s">
        <v>47</v>
      </c>
      <c r="O24" s="8">
        <v>1</v>
      </c>
      <c r="P24" s="4" t="s">
        <v>48</v>
      </c>
      <c r="Q24" s="8">
        <v>2</v>
      </c>
      <c r="R24" s="4"/>
      <c r="S24" s="8"/>
      <c r="T24" s="4"/>
      <c r="U24" s="8"/>
      <c r="V24" s="8"/>
      <c r="W24" s="20" cm="1">
        <f t="array" ref="W24">IF(N(F24)=0,"",MAX(INDEX({1.5;2.5;4;6;10;16;25;35;50;70;95;120;150;185;240},MATCH(TRUE,{16;24;32;41;57;76;100;125;150;190;230;265;300;345;410}&gt;=F24,0)),INDEX({1.5;2.5;4;6;10;16;25;35;50;70;95;120;150;185;240},MATCH(TRUE,{1.5;2.5;4;6;10;16;25;35;50;70;95;120;150;185;240}&gt;=0.00128*F24*V24,0))))</f>
        <v>1.5</v>
      </c>
      <c r="X24" s="8"/>
      <c r="Y24" s="8"/>
      <c r="Z24" s="8"/>
      <c r="AA24" s="8"/>
      <c r="AB24" s="8"/>
      <c r="AC24" s="8"/>
      <c r="AD24" s="4" t="s">
        <v>137</v>
      </c>
    </row>
    <row r="25" ht="28" customHeight="1" spans="1:30">
      <c r="A25" s="8">
        <v>22</v>
      </c>
      <c r="B25" s="4" t="s">
        <v>138</v>
      </c>
      <c r="C25" s="4" t="s">
        <v>139</v>
      </c>
      <c r="D25" s="8" t="s">
        <v>41</v>
      </c>
      <c r="E25" s="8">
        <v>0.04</v>
      </c>
      <c r="F25" s="8">
        <v>0.25</v>
      </c>
      <c r="G25" s="8">
        <v>1</v>
      </c>
      <c r="H25" s="8">
        <v>0.04</v>
      </c>
      <c r="I25" s="8" t="s">
        <v>42</v>
      </c>
      <c r="J25" s="8" t="s">
        <v>43</v>
      </c>
      <c r="K25" s="4" t="s">
        <v>140</v>
      </c>
      <c r="L25" s="4" t="s">
        <v>141</v>
      </c>
      <c r="M25" s="4" t="s">
        <v>142</v>
      </c>
      <c r="N25" s="4" t="s">
        <v>47</v>
      </c>
      <c r="O25" s="8">
        <v>1</v>
      </c>
      <c r="P25" s="4" t="s">
        <v>48</v>
      </c>
      <c r="Q25" s="8">
        <v>2</v>
      </c>
      <c r="R25" s="4"/>
      <c r="S25" s="8"/>
      <c r="T25" s="4"/>
      <c r="U25" s="8"/>
      <c r="V25" s="8"/>
      <c r="W25" s="20" cm="1">
        <f t="array" ref="W25">IF(N(F25)=0,"",MAX(INDEX({1.5;2.5;4;6;10;16;25;35;50;70;95;120;150;185;240},MATCH(TRUE,{16;24;32;41;57;76;100;125;150;190;230;265;300;345;410}&gt;=F25,0)),INDEX({1.5;2.5;4;6;10;16;25;35;50;70;95;120;150;185;240},MATCH(TRUE,{1.5;2.5;4;6;10;16;25;35;50;70;95;120;150;185;240}&gt;=0.00128*F25*V25,0))))</f>
        <v>1.5</v>
      </c>
      <c r="X25" s="8"/>
      <c r="Y25" s="8"/>
      <c r="Z25" s="8"/>
      <c r="AA25" s="8"/>
      <c r="AB25" s="8"/>
      <c r="AC25" s="8"/>
      <c r="AD25" s="4" t="s">
        <v>49</v>
      </c>
    </row>
    <row r="26" ht="28" customHeight="1" spans="1:30">
      <c r="A26" s="8">
        <v>23</v>
      </c>
      <c r="B26" s="19" t="s">
        <v>143</v>
      </c>
      <c r="C26" s="4" t="s">
        <v>144</v>
      </c>
      <c r="D26" s="8" t="s">
        <v>41</v>
      </c>
      <c r="E26" s="8">
        <v>0.03</v>
      </c>
      <c r="F26" s="8">
        <v>0.2</v>
      </c>
      <c r="G26" s="8">
        <v>1</v>
      </c>
      <c r="H26" s="8">
        <v>0.03</v>
      </c>
      <c r="I26" s="8" t="s">
        <v>42</v>
      </c>
      <c r="J26" s="8" t="s">
        <v>43</v>
      </c>
      <c r="K26" s="4" t="s">
        <v>145</v>
      </c>
      <c r="L26" s="4" t="s">
        <v>146</v>
      </c>
      <c r="M26" s="4" t="s">
        <v>147</v>
      </c>
      <c r="N26" s="4" t="s">
        <v>47</v>
      </c>
      <c r="O26" s="8">
        <v>1</v>
      </c>
      <c r="P26" s="4" t="s">
        <v>48</v>
      </c>
      <c r="Q26" s="8">
        <v>2</v>
      </c>
      <c r="R26" s="4"/>
      <c r="S26" s="8"/>
      <c r="T26" s="4"/>
      <c r="U26" s="8"/>
      <c r="V26" s="8"/>
      <c r="W26" s="20" cm="1">
        <f t="array" ref="W26">IF(N(F26)=0,"",MAX(INDEX({1.5;2.5;4;6;10;16;25;35;50;70;95;120;150;185;240},MATCH(TRUE,{16;24;32;41;57;76;100;125;150;190;230;265;300;345;410}&gt;=F26,0)),INDEX({1.5;2.5;4;6;10;16;25;35;50;70;95;120;150;185;240},MATCH(TRUE,{1.5;2.5;4;6;10;16;25;35;50;70;95;120;150;185;240}&gt;=0.00128*F26*V26,0))))</f>
        <v>1.5</v>
      </c>
      <c r="X26" s="8"/>
      <c r="Y26" s="8"/>
      <c r="Z26" s="8"/>
      <c r="AA26" s="8"/>
      <c r="AB26" s="8"/>
      <c r="AC26" s="8"/>
      <c r="AD26" s="4" t="s">
        <v>88</v>
      </c>
    </row>
    <row r="27" ht="28" customHeight="1" spans="1:30">
      <c r="A27" s="8">
        <v>24</v>
      </c>
      <c r="B27" s="21"/>
      <c r="C27" s="4" t="s">
        <v>148</v>
      </c>
      <c r="D27" s="8" t="s">
        <v>41</v>
      </c>
      <c r="E27" s="8">
        <v>0.03</v>
      </c>
      <c r="F27" s="8">
        <v>0.2</v>
      </c>
      <c r="G27" s="8">
        <v>1</v>
      </c>
      <c r="H27" s="8">
        <v>0.03</v>
      </c>
      <c r="I27" s="8" t="s">
        <v>42</v>
      </c>
      <c r="J27" s="8" t="s">
        <v>43</v>
      </c>
      <c r="K27" s="4" t="s">
        <v>149</v>
      </c>
      <c r="L27" s="4" t="s">
        <v>150</v>
      </c>
      <c r="M27" s="4" t="s">
        <v>151</v>
      </c>
      <c r="N27" s="4" t="s">
        <v>47</v>
      </c>
      <c r="O27" s="8">
        <v>1</v>
      </c>
      <c r="P27" s="4" t="s">
        <v>48</v>
      </c>
      <c r="Q27" s="8">
        <v>2</v>
      </c>
      <c r="R27" s="4"/>
      <c r="S27" s="8"/>
      <c r="T27" s="4"/>
      <c r="U27" s="8"/>
      <c r="V27" s="8"/>
      <c r="W27" s="20" cm="1">
        <f t="array" ref="W27">IF(N(F27)=0,"",MAX(INDEX({1.5;2.5;4;6;10;16;25;35;50;70;95;120;150;185;240},MATCH(TRUE,{16;24;32;41;57;76;100;125;150;190;230;265;300;345;410}&gt;=F27,0)),INDEX({1.5;2.5;4;6;10;16;25;35;50;70;95;120;150;185;240},MATCH(TRUE,{1.5;2.5;4;6;10;16;25;35;50;70;95;120;150;185;240}&gt;=0.00128*F27*V27,0))))</f>
        <v>1.5</v>
      </c>
      <c r="X27" s="8"/>
      <c r="Y27" s="8"/>
      <c r="Z27" s="8"/>
      <c r="AA27" s="8"/>
      <c r="AB27" s="8"/>
      <c r="AC27" s="8"/>
      <c r="AD27" s="4" t="s">
        <v>88</v>
      </c>
    </row>
    <row r="28" ht="28" customHeight="1" spans="1:30">
      <c r="A28" s="8">
        <v>25</v>
      </c>
      <c r="B28" s="22"/>
      <c r="C28" s="4" t="s">
        <v>152</v>
      </c>
      <c r="D28" s="8" t="s">
        <v>41</v>
      </c>
      <c r="E28" s="8">
        <v>0.03</v>
      </c>
      <c r="F28" s="8">
        <v>0.2</v>
      </c>
      <c r="G28" s="8">
        <v>1</v>
      </c>
      <c r="H28" s="8">
        <v>0.03</v>
      </c>
      <c r="I28" s="8" t="s">
        <v>42</v>
      </c>
      <c r="J28" s="8" t="s">
        <v>43</v>
      </c>
      <c r="K28" s="4" t="s">
        <v>153</v>
      </c>
      <c r="L28" s="4" t="s">
        <v>154</v>
      </c>
      <c r="M28" s="4" t="s">
        <v>155</v>
      </c>
      <c r="N28" s="4" t="s">
        <v>47</v>
      </c>
      <c r="O28" s="8">
        <v>1</v>
      </c>
      <c r="P28" s="4" t="s">
        <v>48</v>
      </c>
      <c r="Q28" s="8">
        <v>2</v>
      </c>
      <c r="R28" s="4"/>
      <c r="S28" s="8"/>
      <c r="T28" s="4"/>
      <c r="U28" s="8"/>
      <c r="V28" s="8"/>
      <c r="W28" s="20" cm="1">
        <f t="array" ref="W28">IF(N(F28)=0,"",MAX(INDEX({1.5;2.5;4;6;10;16;25;35;50;70;95;120;150;185;240},MATCH(TRUE,{16;24;32;41;57;76;100;125;150;190;230;265;300;345;410}&gt;=F28,0)),INDEX({1.5;2.5;4;6;10;16;25;35;50;70;95;120;150;185;240},MATCH(TRUE,{1.5;2.5;4;6;10;16;25;35;50;70;95;120;150;185;240}&gt;=0.00128*F28*V28,0))))</f>
        <v>1.5</v>
      </c>
      <c r="X28" s="8"/>
      <c r="Y28" s="8"/>
      <c r="Z28" s="8"/>
      <c r="AA28" s="8"/>
      <c r="AB28" s="8"/>
      <c r="AC28" s="8"/>
      <c r="AD28" s="4" t="s">
        <v>156</v>
      </c>
    </row>
    <row r="29" ht="28" customHeight="1" spans="1:30">
      <c r="A29" s="8">
        <v>26</v>
      </c>
      <c r="B29" s="4" t="s">
        <v>157</v>
      </c>
      <c r="C29" s="4" t="s">
        <v>158</v>
      </c>
      <c r="D29" s="8" t="s">
        <v>158</v>
      </c>
      <c r="E29" s="8">
        <v>5.5</v>
      </c>
      <c r="F29" s="8">
        <v>11</v>
      </c>
      <c r="G29" s="8">
        <v>1</v>
      </c>
      <c r="H29" s="8">
        <v>5.5</v>
      </c>
      <c r="I29" s="8" t="s">
        <v>42</v>
      </c>
      <c r="J29" s="8" t="s">
        <v>43</v>
      </c>
      <c r="K29" s="4" t="s">
        <v>159</v>
      </c>
      <c r="L29" s="4" t="s">
        <v>160</v>
      </c>
      <c r="M29" s="4" t="s">
        <v>161</v>
      </c>
      <c r="N29" s="4" t="s">
        <v>47</v>
      </c>
      <c r="O29" s="8">
        <v>1</v>
      </c>
      <c r="P29" s="4" t="s">
        <v>48</v>
      </c>
      <c r="Q29" s="8">
        <v>2</v>
      </c>
      <c r="R29" s="4"/>
      <c r="S29" s="8"/>
      <c r="T29" s="4"/>
      <c r="U29" s="8"/>
      <c r="V29" s="8"/>
      <c r="W29" s="20" cm="1">
        <f t="array" ref="W29">IF(N(F29)=0,"",MAX(INDEX({1.5;2.5;4;6;10;16;25;35;50;70;95;120;150;185;240},MATCH(TRUE,{16;24;32;41;57;76;100;125;150;190;230;265;300;345;410}&gt;=F29,0)),INDEX({1.5;2.5;4;6;10;16;25;35;50;70;95;120;150;185;240},MATCH(TRUE,{1.5;2.5;4;6;10;16;25;35;50;70;95;120;150;185;240}&gt;=0.00128*F29*V29,0))))</f>
        <v>1.5</v>
      </c>
      <c r="X29" s="8"/>
      <c r="Y29" s="8"/>
      <c r="Z29" s="8"/>
      <c r="AA29" s="8"/>
      <c r="AB29" s="8"/>
      <c r="AC29" s="8"/>
      <c r="AD29" s="4"/>
    </row>
    <row r="30" ht="28" customHeight="1" spans="1:30">
      <c r="A30" s="8">
        <v>27</v>
      </c>
      <c r="B30" s="4" t="s">
        <v>162</v>
      </c>
      <c r="C30" s="4" t="s">
        <v>163</v>
      </c>
      <c r="D30" s="8" t="s">
        <v>163</v>
      </c>
      <c r="E30" s="8">
        <v>5.5</v>
      </c>
      <c r="F30" s="8">
        <v>11</v>
      </c>
      <c r="G30" s="8">
        <v>1</v>
      </c>
      <c r="H30" s="8">
        <v>5.5</v>
      </c>
      <c r="I30" s="8" t="s">
        <v>42</v>
      </c>
      <c r="J30" s="8" t="s">
        <v>43</v>
      </c>
      <c r="K30" s="4" t="s">
        <v>164</v>
      </c>
      <c r="L30" s="4" t="s">
        <v>165</v>
      </c>
      <c r="M30" s="4" t="s">
        <v>166</v>
      </c>
      <c r="N30" s="4" t="s">
        <v>47</v>
      </c>
      <c r="O30" s="8">
        <v>1</v>
      </c>
      <c r="P30" s="4" t="s">
        <v>48</v>
      </c>
      <c r="Q30" s="8">
        <v>2</v>
      </c>
      <c r="R30" s="4"/>
      <c r="S30" s="8"/>
      <c r="T30" s="4"/>
      <c r="U30" s="8"/>
      <c r="V30" s="8"/>
      <c r="W30" s="20" cm="1">
        <f t="array" ref="W30">IF(N(F30)=0,"",MAX(INDEX({1.5;2.5;4;6;10;16;25;35;50;70;95;120;150;185;240},MATCH(TRUE,{16;24;32;41;57;76;100;125;150;190;230;265;300;345;410}&gt;=F30,0)),INDEX({1.5;2.5;4;6;10;16;25;35;50;70;95;120;150;185;240},MATCH(TRUE,{1.5;2.5;4;6;10;16;25;35;50;70;95;120;150;185;240}&gt;=0.00128*F30*V30,0))))</f>
        <v>1.5</v>
      </c>
      <c r="X30" s="8"/>
      <c r="Y30" s="8"/>
      <c r="Z30" s="8"/>
      <c r="AA30" s="8"/>
      <c r="AB30" s="8"/>
      <c r="AC30" s="8"/>
      <c r="AD30" s="4" t="s">
        <v>167</v>
      </c>
    </row>
    <row r="31" ht="28" customHeight="1" spans="1:30">
      <c r="A31" s="8">
        <v>28</v>
      </c>
      <c r="B31" s="19" t="s">
        <v>168</v>
      </c>
      <c r="C31" s="4" t="s">
        <v>169</v>
      </c>
      <c r="D31" s="8" t="s">
        <v>170</v>
      </c>
      <c r="E31" s="8">
        <v>2.2</v>
      </c>
      <c r="F31" s="8">
        <v>4.4</v>
      </c>
      <c r="G31" s="8">
        <v>1</v>
      </c>
      <c r="H31" s="8">
        <v>2.2</v>
      </c>
      <c r="I31" s="8" t="s">
        <v>42</v>
      </c>
      <c r="J31" s="8" t="s">
        <v>43</v>
      </c>
      <c r="K31" s="4" t="s">
        <v>171</v>
      </c>
      <c r="L31" s="4" t="s">
        <v>172</v>
      </c>
      <c r="M31" s="4" t="s">
        <v>173</v>
      </c>
      <c r="N31" s="4" t="s">
        <v>47</v>
      </c>
      <c r="O31" s="8">
        <v>1</v>
      </c>
      <c r="P31" s="4" t="s">
        <v>48</v>
      </c>
      <c r="Q31" s="8">
        <v>2</v>
      </c>
      <c r="R31" s="4"/>
      <c r="S31" s="8"/>
      <c r="T31" s="4"/>
      <c r="U31" s="8"/>
      <c r="V31" s="8"/>
      <c r="W31" s="20" cm="1">
        <f t="array" ref="W31">IF(N(F31)=0,"",MAX(INDEX({1.5;2.5;4;6;10;16;25;35;50;70;95;120;150;185;240},MATCH(TRUE,{16;24;32;41;57;76;100;125;150;190;230;265;300;345;410}&gt;=F31,0)),INDEX({1.5;2.5;4;6;10;16;25;35;50;70;95;120;150;185;240},MATCH(TRUE,{1.5;2.5;4;6;10;16;25;35;50;70;95;120;150;185;240}&gt;=0.00128*F31*V31,0))))</f>
        <v>1.5</v>
      </c>
      <c r="X31" s="8"/>
      <c r="Y31" s="8"/>
      <c r="Z31" s="8"/>
      <c r="AA31" s="8"/>
      <c r="AB31" s="8"/>
      <c r="AC31" s="8"/>
      <c r="AD31" s="4"/>
    </row>
    <row r="32" ht="28" customHeight="1" spans="1:30">
      <c r="A32" s="8">
        <v>29</v>
      </c>
      <c r="B32" s="21"/>
      <c r="C32" s="4" t="s">
        <v>174</v>
      </c>
      <c r="D32" s="8" t="s">
        <v>170</v>
      </c>
      <c r="E32" s="8">
        <v>2.2</v>
      </c>
      <c r="F32" s="8">
        <v>4.4</v>
      </c>
      <c r="G32" s="8">
        <v>1</v>
      </c>
      <c r="H32" s="8">
        <v>2.2</v>
      </c>
      <c r="I32" s="8" t="s">
        <v>42</v>
      </c>
      <c r="J32" s="8" t="s">
        <v>43</v>
      </c>
      <c r="K32" s="4" t="s">
        <v>175</v>
      </c>
      <c r="L32" s="4" t="s">
        <v>176</v>
      </c>
      <c r="M32" s="4" t="s">
        <v>177</v>
      </c>
      <c r="N32" s="4" t="s">
        <v>47</v>
      </c>
      <c r="O32" s="8">
        <v>1</v>
      </c>
      <c r="P32" s="4" t="s">
        <v>48</v>
      </c>
      <c r="Q32" s="8">
        <v>2</v>
      </c>
      <c r="R32" s="4"/>
      <c r="S32" s="8"/>
      <c r="T32" s="4"/>
      <c r="U32" s="8"/>
      <c r="V32" s="8"/>
      <c r="W32" s="20" cm="1">
        <f t="array" ref="W32">IF(N(F32)=0,"",MAX(INDEX({1.5;2.5;4;6;10;16;25;35;50;70;95;120;150;185;240},MATCH(TRUE,{16;24;32;41;57;76;100;125;150;190;230;265;300;345;410}&gt;=F32,0)),INDEX({1.5;2.5;4;6;10;16;25;35;50;70;95;120;150;185;240},MATCH(TRUE,{1.5;2.5;4;6;10;16;25;35;50;70;95;120;150;185;240}&gt;=0.00128*F32*V32,0))))</f>
        <v>1.5</v>
      </c>
      <c r="X32" s="8"/>
      <c r="Y32" s="8"/>
      <c r="Z32" s="8"/>
      <c r="AA32" s="8"/>
      <c r="AB32" s="8"/>
      <c r="AC32" s="8"/>
      <c r="AD32" s="4"/>
    </row>
    <row r="33" ht="28" customHeight="1" spans="1:30">
      <c r="A33" s="8">
        <v>30</v>
      </c>
      <c r="B33" s="21"/>
      <c r="C33" s="4" t="s">
        <v>178</v>
      </c>
      <c r="D33" s="8" t="s">
        <v>170</v>
      </c>
      <c r="E33" s="8">
        <v>2.2</v>
      </c>
      <c r="F33" s="8">
        <v>4.4</v>
      </c>
      <c r="G33" s="8">
        <v>1</v>
      </c>
      <c r="H33" s="8">
        <v>2.2</v>
      </c>
      <c r="I33" s="8" t="s">
        <v>42</v>
      </c>
      <c r="J33" s="8" t="s">
        <v>43</v>
      </c>
      <c r="K33" s="4" t="s">
        <v>179</v>
      </c>
      <c r="L33" s="4" t="s">
        <v>180</v>
      </c>
      <c r="M33" s="4" t="s">
        <v>181</v>
      </c>
      <c r="N33" s="4" t="s">
        <v>47</v>
      </c>
      <c r="O33" s="8">
        <v>1</v>
      </c>
      <c r="P33" s="4" t="s">
        <v>48</v>
      </c>
      <c r="Q33" s="8">
        <v>2</v>
      </c>
      <c r="R33" s="4"/>
      <c r="S33" s="8"/>
      <c r="T33" s="4"/>
      <c r="U33" s="8"/>
      <c r="V33" s="8"/>
      <c r="W33" s="20" cm="1">
        <f t="array" ref="W33">IF(N(F33)=0,"",MAX(INDEX({1.5;2.5;4;6;10;16;25;35;50;70;95;120;150;185;240},MATCH(TRUE,{16;24;32;41;57;76;100;125;150;190;230;265;300;345;410}&gt;=F33,0)),INDEX({1.5;2.5;4;6;10;16;25;35;50;70;95;120;150;185;240},MATCH(TRUE,{1.5;2.5;4;6;10;16;25;35;50;70;95;120;150;185;240}&gt;=0.00128*F33*V33,0))))</f>
        <v>1.5</v>
      </c>
      <c r="X33" s="8"/>
      <c r="Y33" s="8"/>
      <c r="Z33" s="8"/>
      <c r="AA33" s="8"/>
      <c r="AB33" s="8"/>
      <c r="AC33" s="8"/>
      <c r="AD33" s="4"/>
    </row>
    <row r="34" ht="28" customHeight="1" spans="1:30">
      <c r="A34" s="8">
        <v>31</v>
      </c>
      <c r="B34" s="22"/>
      <c r="C34" s="4" t="s">
        <v>182</v>
      </c>
      <c r="D34" s="8" t="s">
        <v>170</v>
      </c>
      <c r="E34" s="8">
        <v>2.2</v>
      </c>
      <c r="F34" s="8">
        <v>4.4</v>
      </c>
      <c r="G34" s="8">
        <v>1</v>
      </c>
      <c r="H34" s="8">
        <v>2.2</v>
      </c>
      <c r="I34" s="8" t="s">
        <v>42</v>
      </c>
      <c r="J34" s="8" t="s">
        <v>43</v>
      </c>
      <c r="K34" s="4" t="s">
        <v>183</v>
      </c>
      <c r="L34" s="4" t="s">
        <v>184</v>
      </c>
      <c r="M34" s="4" t="s">
        <v>185</v>
      </c>
      <c r="N34" s="4" t="s">
        <v>47</v>
      </c>
      <c r="O34" s="8">
        <v>1</v>
      </c>
      <c r="P34" s="4" t="s">
        <v>48</v>
      </c>
      <c r="Q34" s="8">
        <v>2</v>
      </c>
      <c r="R34" s="4"/>
      <c r="S34" s="8"/>
      <c r="T34" s="4"/>
      <c r="U34" s="8"/>
      <c r="V34" s="8"/>
      <c r="W34" s="20" cm="1">
        <f t="array" ref="W34">IF(N(F34)=0,"",MAX(INDEX({1.5;2.5;4;6;10;16;25;35;50;70;95;120;150;185;240},MATCH(TRUE,{16;24;32;41;57;76;100;125;150;190;230;265;300;345;410}&gt;=F34,0)),INDEX({1.5;2.5;4;6;10;16;25;35;50;70;95;120;150;185;240},MATCH(TRUE,{1.5;2.5;4;6;10;16;25;35;50;70;95;120;150;185;240}&gt;=0.00128*F34*V34,0))))</f>
        <v>1.5</v>
      </c>
      <c r="X34" s="8"/>
      <c r="Y34" s="8"/>
      <c r="Z34" s="8"/>
      <c r="AA34" s="8"/>
      <c r="AB34" s="8"/>
      <c r="AC34" s="8"/>
      <c r="AD34" s="4"/>
    </row>
    <row r="35" ht="28" customHeight="1" spans="1:30">
      <c r="A35" s="8">
        <v>32</v>
      </c>
      <c r="B35" s="19" t="s">
        <v>186</v>
      </c>
      <c r="C35" s="4" t="s">
        <v>187</v>
      </c>
      <c r="D35" s="8" t="s">
        <v>188</v>
      </c>
      <c r="E35" s="8">
        <v>15</v>
      </c>
      <c r="F35" s="8">
        <v>30</v>
      </c>
      <c r="G35" s="8">
        <v>1</v>
      </c>
      <c r="H35" s="8">
        <v>15</v>
      </c>
      <c r="I35" s="8" t="s">
        <v>42</v>
      </c>
      <c r="J35" s="8" t="s">
        <v>189</v>
      </c>
      <c r="K35" s="4" t="s">
        <v>190</v>
      </c>
      <c r="L35" s="4" t="s">
        <v>191</v>
      </c>
      <c r="M35" s="4" t="s">
        <v>192</v>
      </c>
      <c r="N35" s="4" t="s">
        <v>47</v>
      </c>
      <c r="O35" s="8">
        <v>1</v>
      </c>
      <c r="P35" s="4" t="s">
        <v>48</v>
      </c>
      <c r="Q35" s="8">
        <v>2</v>
      </c>
      <c r="R35" s="4"/>
      <c r="S35" s="8"/>
      <c r="T35" s="4"/>
      <c r="U35" s="8"/>
      <c r="V35" s="8"/>
      <c r="W35" s="20" cm="1">
        <f t="array" ref="W35">IF(N(F35)=0,"",MAX(INDEX({1.5;2.5;4;6;10;16;25;35;50;70;95;120;150;185;240},MATCH(TRUE,{16;24;32;41;57;76;100;125;150;190;230;265;300;345;410}&gt;=F35,0)),INDEX({1.5;2.5;4;6;10;16;25;35;50;70;95;120;150;185;240},MATCH(TRUE,{1.5;2.5;4;6;10;16;25;35;50;70;95;120;150;185;240}&gt;=0.00128*F35*V35,0))))</f>
        <v>4</v>
      </c>
      <c r="X35" s="8"/>
      <c r="Y35" s="8"/>
      <c r="Z35" s="8"/>
      <c r="AA35" s="8"/>
      <c r="AB35" s="8"/>
      <c r="AC35" s="8"/>
      <c r="AD35" s="4" t="s">
        <v>193</v>
      </c>
    </row>
    <row r="36" ht="28" customHeight="1" spans="1:30">
      <c r="A36" s="8">
        <v>33</v>
      </c>
      <c r="B36" s="22"/>
      <c r="C36" s="4" t="s">
        <v>194</v>
      </c>
      <c r="D36" s="8" t="s">
        <v>194</v>
      </c>
      <c r="E36" s="8">
        <v>0.375</v>
      </c>
      <c r="F36" s="8">
        <v>1.8</v>
      </c>
      <c r="G36" s="8">
        <v>1</v>
      </c>
      <c r="H36" s="8">
        <v>0.375</v>
      </c>
      <c r="I36" s="8" t="s">
        <v>114</v>
      </c>
      <c r="J36" s="8" t="s">
        <v>195</v>
      </c>
      <c r="K36" s="4" t="s">
        <v>196</v>
      </c>
      <c r="L36" s="4" t="s">
        <v>197</v>
      </c>
      <c r="M36" s="4" t="s">
        <v>198</v>
      </c>
      <c r="N36" s="4" t="s">
        <v>47</v>
      </c>
      <c r="O36" s="8">
        <v>1</v>
      </c>
      <c r="P36" s="4" t="s">
        <v>48</v>
      </c>
      <c r="Q36" s="8">
        <v>2</v>
      </c>
      <c r="R36" s="4"/>
      <c r="S36" s="8"/>
      <c r="T36" s="4"/>
      <c r="U36" s="8"/>
      <c r="V36" s="8"/>
      <c r="W36" s="20" cm="1">
        <f t="array" ref="W36">IF(N(F36)=0,"",MAX(INDEX({1.5;2.5;4;6;10;16;25;35;50;70;95;120;150;185;240},MATCH(TRUE,{16;24;32;41;57;76;100;125;150;190;230;265;300;345;410}&gt;=F36,0)),INDEX({1.5;2.5;4;6;10;16;25;35;50;70;95;120;150;185;240},MATCH(TRUE,{1.5;2.5;4;6;10;16;25;35;50;70;95;120;150;185;240}&gt;=0.00128*F36*V36,0))))</f>
        <v>1.5</v>
      </c>
      <c r="X36" s="8"/>
      <c r="Y36" s="8"/>
      <c r="Z36" s="8"/>
      <c r="AA36" s="8"/>
      <c r="AB36" s="8"/>
      <c r="AC36" s="8"/>
      <c r="AD36" s="4" t="s">
        <v>199</v>
      </c>
    </row>
    <row r="37" ht="28" customHeight="1" spans="1:30">
      <c r="A37" s="8">
        <v>34</v>
      </c>
      <c r="B37" s="19" t="s">
        <v>200</v>
      </c>
      <c r="C37" s="9" t="s">
        <v>201</v>
      </c>
      <c r="D37" s="8" t="s">
        <v>202</v>
      </c>
      <c r="E37" s="8">
        <v>22</v>
      </c>
      <c r="F37" s="8">
        <v>44</v>
      </c>
      <c r="G37" s="8">
        <v>1</v>
      </c>
      <c r="H37" s="8">
        <v>22</v>
      </c>
      <c r="I37" s="8" t="s">
        <v>42</v>
      </c>
      <c r="J37" s="8" t="s">
        <v>43</v>
      </c>
      <c r="K37" s="4" t="s">
        <v>203</v>
      </c>
      <c r="L37" s="4" t="s">
        <v>204</v>
      </c>
      <c r="M37" s="4" t="s">
        <v>205</v>
      </c>
      <c r="N37" s="4" t="s">
        <v>47</v>
      </c>
      <c r="O37" s="8">
        <v>1</v>
      </c>
      <c r="P37" s="4" t="s">
        <v>48</v>
      </c>
      <c r="Q37" s="8">
        <v>2</v>
      </c>
      <c r="R37" s="4" t="s">
        <v>75</v>
      </c>
      <c r="S37" s="8">
        <v>1</v>
      </c>
      <c r="T37" s="4"/>
      <c r="U37" s="8"/>
      <c r="V37" s="8"/>
      <c r="W37" s="20" cm="1">
        <f t="array" ref="W37">IF(N(F37)=0,"",MAX(INDEX({1.5;2.5;4;6;10;16;25;35;50;70;95;120;150;185;240},MATCH(TRUE,{16;24;32;41;57;76;100;125;150;190;230;265;300;345;410}&gt;=F37,0)),INDEX({1.5;2.5;4;6;10;16;25;35;50;70;95;120;150;185;240},MATCH(TRUE,{1.5;2.5;4;6;10;16;25;35;50;70;95;120;150;185;240}&gt;=0.00128*F37*V37,0))))</f>
        <v>10</v>
      </c>
      <c r="X37" s="8"/>
      <c r="Y37" s="8"/>
      <c r="Z37" s="8"/>
      <c r="AA37" s="8"/>
      <c r="AB37" s="8"/>
      <c r="AC37" s="8"/>
      <c r="AD37" s="4" t="s">
        <v>206</v>
      </c>
    </row>
    <row r="38" ht="28" customHeight="1" spans="1:30">
      <c r="A38" s="8">
        <v>35</v>
      </c>
      <c r="B38" s="22"/>
      <c r="C38" s="11"/>
      <c r="D38" s="8" t="s">
        <v>207</v>
      </c>
      <c r="E38" s="8">
        <v>1.1</v>
      </c>
      <c r="F38" s="8">
        <v>2.2</v>
      </c>
      <c r="G38" s="8">
        <v>1</v>
      </c>
      <c r="H38" s="8">
        <v>1.1</v>
      </c>
      <c r="I38" s="8" t="s">
        <v>42</v>
      </c>
      <c r="J38" s="8" t="s">
        <v>43</v>
      </c>
      <c r="K38" s="4" t="s">
        <v>208</v>
      </c>
      <c r="L38" s="4" t="s">
        <v>209</v>
      </c>
      <c r="M38" s="4" t="s">
        <v>210</v>
      </c>
      <c r="N38" s="4" t="s">
        <v>47</v>
      </c>
      <c r="O38" s="8">
        <v>1</v>
      </c>
      <c r="P38" s="4" t="s">
        <v>48</v>
      </c>
      <c r="Q38" s="8">
        <v>2</v>
      </c>
      <c r="R38" s="4"/>
      <c r="S38" s="8"/>
      <c r="T38" s="4"/>
      <c r="U38" s="8"/>
      <c r="V38" s="8"/>
      <c r="W38" s="20" cm="1">
        <f t="array" ref="W38">IF(N(F38)=0,"",MAX(INDEX({1.5;2.5;4;6;10;16;25;35;50;70;95;120;150;185;240},MATCH(TRUE,{16;24;32;41;57;76;100;125;150;190;230;265;300;345;410}&gt;=F38,0)),INDEX({1.5;2.5;4;6;10;16;25;35;50;70;95;120;150;185;240},MATCH(TRUE,{1.5;2.5;4;6;10;16;25;35;50;70;95;120;150;185;240}&gt;=0.00128*F38*V38,0))))</f>
        <v>1.5</v>
      </c>
      <c r="X38" s="8"/>
      <c r="Y38" s="8"/>
      <c r="Z38" s="8"/>
      <c r="AA38" s="8"/>
      <c r="AB38" s="8"/>
      <c r="AC38" s="8"/>
      <c r="AD38" s="4"/>
    </row>
    <row r="39" ht="28" customHeight="1" spans="1:30">
      <c r="A39" s="8">
        <v>36</v>
      </c>
      <c r="B39" s="19" t="s">
        <v>211</v>
      </c>
      <c r="C39" s="9" t="s">
        <v>212</v>
      </c>
      <c r="D39" s="8" t="s">
        <v>202</v>
      </c>
      <c r="E39" s="8">
        <v>22</v>
      </c>
      <c r="F39" s="8">
        <v>44</v>
      </c>
      <c r="G39" s="8">
        <v>1</v>
      </c>
      <c r="H39" s="8">
        <v>22</v>
      </c>
      <c r="I39" s="8" t="s">
        <v>42</v>
      </c>
      <c r="J39" s="8" t="s">
        <v>43</v>
      </c>
      <c r="K39" s="4" t="s">
        <v>213</v>
      </c>
      <c r="L39" s="4" t="s">
        <v>214</v>
      </c>
      <c r="M39" s="4" t="s">
        <v>215</v>
      </c>
      <c r="N39" s="4" t="s">
        <v>47</v>
      </c>
      <c r="O39" s="8">
        <v>1</v>
      </c>
      <c r="P39" s="4" t="s">
        <v>48</v>
      </c>
      <c r="Q39" s="8">
        <v>2</v>
      </c>
      <c r="R39" s="4" t="s">
        <v>75</v>
      </c>
      <c r="S39" s="8">
        <v>1</v>
      </c>
      <c r="T39" s="4"/>
      <c r="U39" s="8"/>
      <c r="V39" s="8"/>
      <c r="W39" s="20" cm="1">
        <f t="array" ref="W39">IF(N(F39)=0,"",MAX(INDEX({1.5;2.5;4;6;10;16;25;35;50;70;95;120;150;185;240},MATCH(TRUE,{16;24;32;41;57;76;100;125;150;190;230;265;300;345;410}&gt;=F39,0)),INDEX({1.5;2.5;4;6;10;16;25;35;50;70;95;120;150;185;240},MATCH(TRUE,{1.5;2.5;4;6;10;16;25;35;50;70;95;120;150;185;240}&gt;=0.00128*F39*V39,0))))</f>
        <v>10</v>
      </c>
      <c r="X39" s="8"/>
      <c r="Y39" s="8"/>
      <c r="Z39" s="8"/>
      <c r="AA39" s="8"/>
      <c r="AB39" s="8"/>
      <c r="AC39" s="8"/>
      <c r="AD39" s="4" t="s">
        <v>206</v>
      </c>
    </row>
    <row r="40" ht="28" customHeight="1" spans="1:30">
      <c r="A40" s="8">
        <v>37</v>
      </c>
      <c r="B40" s="22"/>
      <c r="C40" s="11"/>
      <c r="D40" s="8" t="s">
        <v>207</v>
      </c>
      <c r="E40" s="8">
        <v>1.1</v>
      </c>
      <c r="F40" s="8">
        <v>2.2</v>
      </c>
      <c r="G40" s="8">
        <v>1</v>
      </c>
      <c r="H40" s="8">
        <v>1.1</v>
      </c>
      <c r="I40" s="8" t="s">
        <v>42</v>
      </c>
      <c r="J40" s="8" t="s">
        <v>43</v>
      </c>
      <c r="K40" s="4" t="s">
        <v>216</v>
      </c>
      <c r="L40" s="4" t="s">
        <v>217</v>
      </c>
      <c r="M40" s="4" t="s">
        <v>218</v>
      </c>
      <c r="N40" s="4" t="s">
        <v>47</v>
      </c>
      <c r="O40" s="8">
        <v>1</v>
      </c>
      <c r="P40" s="4" t="s">
        <v>48</v>
      </c>
      <c r="Q40" s="8">
        <v>2</v>
      </c>
      <c r="R40" s="4"/>
      <c r="S40" s="8"/>
      <c r="T40" s="4"/>
      <c r="U40" s="8"/>
      <c r="V40" s="8"/>
      <c r="W40" s="20" cm="1">
        <f t="array" ref="W40">IF(N(F40)=0,"",MAX(INDEX({1.5;2.5;4;6;10;16;25;35;50;70;95;120;150;185;240},MATCH(TRUE,{16;24;32;41;57;76;100;125;150;190;230;265;300;345;410}&gt;=F40,0)),INDEX({1.5;2.5;4;6;10;16;25;35;50;70;95;120;150;185;240},MATCH(TRUE,{1.5;2.5;4;6;10;16;25;35;50;70;95;120;150;185;240}&gt;=0.00128*F40*V40,0))))</f>
        <v>1.5</v>
      </c>
      <c r="X40" s="8"/>
      <c r="Y40" s="8"/>
      <c r="Z40" s="8"/>
      <c r="AA40" s="8"/>
      <c r="AB40" s="8"/>
      <c r="AC40" s="8"/>
      <c r="AD40" s="4"/>
    </row>
    <row r="41" ht="28" customHeight="1" spans="1:30">
      <c r="A41" s="8">
        <v>38</v>
      </c>
      <c r="B41" s="19" t="s">
        <v>219</v>
      </c>
      <c r="C41" s="9" t="s">
        <v>220</v>
      </c>
      <c r="D41" s="8" t="s">
        <v>202</v>
      </c>
      <c r="E41" s="8">
        <v>15</v>
      </c>
      <c r="F41" s="8">
        <v>30</v>
      </c>
      <c r="G41" s="8">
        <v>1</v>
      </c>
      <c r="H41" s="8">
        <v>15</v>
      </c>
      <c r="I41" s="8" t="s">
        <v>42</v>
      </c>
      <c r="J41" s="8" t="s">
        <v>43</v>
      </c>
      <c r="K41" s="4" t="s">
        <v>221</v>
      </c>
      <c r="L41" s="4" t="s">
        <v>222</v>
      </c>
      <c r="M41" s="4" t="s">
        <v>223</v>
      </c>
      <c r="N41" s="4" t="s">
        <v>47</v>
      </c>
      <c r="O41" s="8">
        <v>1</v>
      </c>
      <c r="P41" s="4" t="s">
        <v>48</v>
      </c>
      <c r="Q41" s="8">
        <v>2</v>
      </c>
      <c r="R41" s="4" t="s">
        <v>75</v>
      </c>
      <c r="S41" s="8">
        <v>1</v>
      </c>
      <c r="T41" s="4"/>
      <c r="U41" s="8"/>
      <c r="V41" s="8"/>
      <c r="W41" s="20" cm="1">
        <f t="array" ref="W41">IF(N(F41)=0,"",MAX(INDEX({1.5;2.5;4;6;10;16;25;35;50;70;95;120;150;185;240},MATCH(TRUE,{16;24;32;41;57;76;100;125;150;190;230;265;300;345;410}&gt;=F41,0)),INDEX({1.5;2.5;4;6;10;16;25;35;50;70;95;120;150;185;240},MATCH(TRUE,{1.5;2.5;4;6;10;16;25;35;50;70;95;120;150;185;240}&gt;=0.00128*F41*V41,0))))</f>
        <v>4</v>
      </c>
      <c r="X41" s="8"/>
      <c r="Y41" s="8"/>
      <c r="Z41" s="8"/>
      <c r="AA41" s="8"/>
      <c r="AB41" s="8"/>
      <c r="AC41" s="8"/>
      <c r="AD41" s="4" t="s">
        <v>224</v>
      </c>
    </row>
    <row r="42" ht="28" customHeight="1" spans="1:30">
      <c r="A42" s="8">
        <v>39</v>
      </c>
      <c r="B42" s="22"/>
      <c r="C42" s="11"/>
      <c r="D42" s="8" t="s">
        <v>207</v>
      </c>
      <c r="E42" s="8">
        <v>1.1</v>
      </c>
      <c r="F42" s="8">
        <v>2.2</v>
      </c>
      <c r="G42" s="8">
        <v>1</v>
      </c>
      <c r="H42" s="8">
        <v>1.1</v>
      </c>
      <c r="I42" s="8" t="s">
        <v>42</v>
      </c>
      <c r="J42" s="8" t="s">
        <v>43</v>
      </c>
      <c r="K42" s="4" t="s">
        <v>225</v>
      </c>
      <c r="L42" s="4" t="s">
        <v>226</v>
      </c>
      <c r="M42" s="4" t="s">
        <v>227</v>
      </c>
      <c r="N42" s="4" t="s">
        <v>47</v>
      </c>
      <c r="O42" s="8">
        <v>1</v>
      </c>
      <c r="P42" s="4" t="s">
        <v>48</v>
      </c>
      <c r="Q42" s="8">
        <v>2</v>
      </c>
      <c r="R42" s="4"/>
      <c r="S42" s="8"/>
      <c r="T42" s="4"/>
      <c r="U42" s="8"/>
      <c r="V42" s="8"/>
      <c r="W42" s="20" cm="1">
        <f t="array" ref="W42">IF(N(F42)=0,"",MAX(INDEX({1.5;2.5;4;6;10;16;25;35;50;70;95;120;150;185;240},MATCH(TRUE,{16;24;32;41;57;76;100;125;150;190;230;265;300;345;410}&gt;=F42,0)),INDEX({1.5;2.5;4;6;10;16;25;35;50;70;95;120;150;185;240},MATCH(TRUE,{1.5;2.5;4;6;10;16;25;35;50;70;95;120;150;185;240}&gt;=0.00128*F42*V42,0))))</f>
        <v>1.5</v>
      </c>
      <c r="X42" s="8"/>
      <c r="Y42" s="8"/>
      <c r="Z42" s="8"/>
      <c r="AA42" s="8"/>
      <c r="AB42" s="8"/>
      <c r="AC42" s="8"/>
      <c r="AD42" s="4"/>
    </row>
    <row r="43" ht="28" customHeight="1" spans="1:30">
      <c r="A43" s="8">
        <v>40</v>
      </c>
      <c r="B43" s="19" t="s">
        <v>228</v>
      </c>
      <c r="C43" s="9" t="s">
        <v>229</v>
      </c>
      <c r="D43" s="8" t="s">
        <v>202</v>
      </c>
      <c r="E43" s="8">
        <v>15</v>
      </c>
      <c r="F43" s="8">
        <v>30</v>
      </c>
      <c r="G43" s="8">
        <v>1</v>
      </c>
      <c r="H43" s="8">
        <v>15</v>
      </c>
      <c r="I43" s="8" t="s">
        <v>42</v>
      </c>
      <c r="J43" s="8" t="s">
        <v>43</v>
      </c>
      <c r="K43" s="4" t="s">
        <v>230</v>
      </c>
      <c r="L43" s="4" t="s">
        <v>231</v>
      </c>
      <c r="M43" s="4" t="s">
        <v>232</v>
      </c>
      <c r="N43" s="4" t="s">
        <v>47</v>
      </c>
      <c r="O43" s="8">
        <v>1</v>
      </c>
      <c r="P43" s="4" t="s">
        <v>48</v>
      </c>
      <c r="Q43" s="8">
        <v>2</v>
      </c>
      <c r="R43" s="4" t="s">
        <v>75</v>
      </c>
      <c r="S43" s="8">
        <v>1</v>
      </c>
      <c r="T43" s="4"/>
      <c r="U43" s="8"/>
      <c r="V43" s="8"/>
      <c r="W43" s="20" cm="1">
        <f t="array" ref="W43">IF(N(F43)=0,"",MAX(INDEX({1.5;2.5;4;6;10;16;25;35;50;70;95;120;150;185;240},MATCH(TRUE,{16;24;32;41;57;76;100;125;150;190;230;265;300;345;410}&gt;=F43,0)),INDEX({1.5;2.5;4;6;10;16;25;35;50;70;95;120;150;185;240},MATCH(TRUE,{1.5;2.5;4;6;10;16;25;35;50;70;95;120;150;185;240}&gt;=0.00128*F43*V43,0))))</f>
        <v>4</v>
      </c>
      <c r="X43" s="8"/>
      <c r="Y43" s="8"/>
      <c r="Z43" s="8"/>
      <c r="AA43" s="8"/>
      <c r="AB43" s="8"/>
      <c r="AC43" s="8"/>
      <c r="AD43" s="4" t="s">
        <v>224</v>
      </c>
    </row>
    <row r="44" ht="28" customHeight="1" spans="1:30">
      <c r="A44" s="8">
        <v>41</v>
      </c>
      <c r="B44" s="22"/>
      <c r="C44" s="11"/>
      <c r="D44" s="8" t="s">
        <v>207</v>
      </c>
      <c r="E44" s="8">
        <v>1.1</v>
      </c>
      <c r="F44" s="8">
        <v>2.2</v>
      </c>
      <c r="G44" s="8">
        <v>1</v>
      </c>
      <c r="H44" s="8">
        <v>1.1</v>
      </c>
      <c r="I44" s="8" t="s">
        <v>42</v>
      </c>
      <c r="J44" s="8" t="s">
        <v>43</v>
      </c>
      <c r="K44" s="4" t="s">
        <v>233</v>
      </c>
      <c r="L44" s="4" t="s">
        <v>234</v>
      </c>
      <c r="M44" s="4" t="s">
        <v>235</v>
      </c>
      <c r="N44" s="4" t="s">
        <v>47</v>
      </c>
      <c r="O44" s="8">
        <v>1</v>
      </c>
      <c r="P44" s="4" t="s">
        <v>48</v>
      </c>
      <c r="Q44" s="8">
        <v>2</v>
      </c>
      <c r="R44" s="4"/>
      <c r="S44" s="8"/>
      <c r="T44" s="4"/>
      <c r="U44" s="8"/>
      <c r="V44" s="8"/>
      <c r="W44" s="20" cm="1">
        <f t="array" ref="W44">IF(N(F44)=0,"",MAX(INDEX({1.5;2.5;4;6;10;16;25;35;50;70;95;120;150;185;240},MATCH(TRUE,{16;24;32;41;57;76;100;125;150;190;230;265;300;345;410}&gt;=F44,0)),INDEX({1.5;2.5;4;6;10;16;25;35;50;70;95;120;150;185;240},MATCH(TRUE,{1.5;2.5;4;6;10;16;25;35;50;70;95;120;150;185;240}&gt;=0.00128*F44*V44,0))))</f>
        <v>1.5</v>
      </c>
      <c r="X44" s="8"/>
      <c r="Y44" s="8"/>
      <c r="Z44" s="8"/>
      <c r="AA44" s="8"/>
      <c r="AB44" s="8"/>
      <c r="AC44" s="8"/>
      <c r="AD44" s="4"/>
    </row>
    <row r="45" ht="28" customHeight="1" spans="1:30">
      <c r="A45" s="8">
        <v>42</v>
      </c>
      <c r="B45" s="19" t="s">
        <v>236</v>
      </c>
      <c r="C45" s="9" t="s">
        <v>237</v>
      </c>
      <c r="D45" s="8" t="s">
        <v>202</v>
      </c>
      <c r="E45" s="8">
        <v>3</v>
      </c>
      <c r="F45" s="8">
        <v>6</v>
      </c>
      <c r="G45" s="8">
        <v>1</v>
      </c>
      <c r="H45" s="8">
        <v>3</v>
      </c>
      <c r="I45" s="8" t="s">
        <v>42</v>
      </c>
      <c r="J45" s="8" t="s">
        <v>43</v>
      </c>
      <c r="K45" s="4" t="s">
        <v>238</v>
      </c>
      <c r="L45" s="4" t="s">
        <v>239</v>
      </c>
      <c r="M45" s="4" t="s">
        <v>240</v>
      </c>
      <c r="N45" s="4" t="s">
        <v>47</v>
      </c>
      <c r="O45" s="8">
        <v>1</v>
      </c>
      <c r="P45" s="4" t="s">
        <v>48</v>
      </c>
      <c r="Q45" s="8">
        <v>2</v>
      </c>
      <c r="R45" s="4" t="s">
        <v>75</v>
      </c>
      <c r="S45" s="8">
        <v>1</v>
      </c>
      <c r="T45" s="4"/>
      <c r="U45" s="8"/>
      <c r="V45" s="8"/>
      <c r="W45" s="20" cm="1">
        <f t="array" ref="W45">IF(N(F45)=0,"",MAX(INDEX({1.5;2.5;4;6;10;16;25;35;50;70;95;120;150;185;240},MATCH(TRUE,{16;24;32;41;57;76;100;125;150;190;230;265;300;345;410}&gt;=F45,0)),INDEX({1.5;2.5;4;6;10;16;25;35;50;70;95;120;150;185;240},MATCH(TRUE,{1.5;2.5;4;6;10;16;25;35;50;70;95;120;150;185;240}&gt;=0.00128*F45*V45,0))))</f>
        <v>1.5</v>
      </c>
      <c r="X45" s="8"/>
      <c r="Y45" s="8"/>
      <c r="Z45" s="8"/>
      <c r="AA45" s="8"/>
      <c r="AB45" s="8"/>
      <c r="AC45" s="8"/>
      <c r="AD45" s="4" t="s">
        <v>241</v>
      </c>
    </row>
    <row r="46" ht="28" customHeight="1" spans="1:30">
      <c r="A46" s="8">
        <v>43</v>
      </c>
      <c r="B46" s="22"/>
      <c r="C46" s="11"/>
      <c r="D46" s="8" t="s">
        <v>207</v>
      </c>
      <c r="E46" s="8">
        <v>1.1</v>
      </c>
      <c r="F46" s="8">
        <v>2.2</v>
      </c>
      <c r="G46" s="8">
        <v>1</v>
      </c>
      <c r="H46" s="8">
        <v>1.1</v>
      </c>
      <c r="I46" s="8" t="s">
        <v>42</v>
      </c>
      <c r="J46" s="8" t="s">
        <v>43</v>
      </c>
      <c r="K46" s="4" t="s">
        <v>242</v>
      </c>
      <c r="L46" s="4" t="s">
        <v>243</v>
      </c>
      <c r="M46" s="4" t="s">
        <v>244</v>
      </c>
      <c r="N46" s="4" t="s">
        <v>47</v>
      </c>
      <c r="O46" s="8">
        <v>1</v>
      </c>
      <c r="P46" s="4" t="s">
        <v>48</v>
      </c>
      <c r="Q46" s="8">
        <v>2</v>
      </c>
      <c r="R46" s="4"/>
      <c r="S46" s="8"/>
      <c r="T46" s="4"/>
      <c r="U46" s="8"/>
      <c r="V46" s="8"/>
      <c r="W46" s="20" cm="1">
        <f t="array" ref="W46">IF(N(F46)=0,"",MAX(INDEX({1.5;2.5;4;6;10;16;25;35;50;70;95;120;150;185;240},MATCH(TRUE,{16;24;32;41;57;76;100;125;150;190;230;265;300;345;410}&gt;=F46,0)),INDEX({1.5;2.5;4;6;10;16;25;35;50;70;95;120;150;185;240},MATCH(TRUE,{1.5;2.5;4;6;10;16;25;35;50;70;95;120;150;185;240}&gt;=0.00128*F46*V46,0))))</f>
        <v>1.5</v>
      </c>
      <c r="X46" s="8"/>
      <c r="Y46" s="8"/>
      <c r="Z46" s="8"/>
      <c r="AA46" s="8"/>
      <c r="AB46" s="8"/>
      <c r="AC46" s="8"/>
      <c r="AD46" s="4"/>
    </row>
    <row r="47" ht="28" customHeight="1" spans="1:30">
      <c r="A47" s="8">
        <v>44</v>
      </c>
      <c r="B47" s="19" t="s">
        <v>245</v>
      </c>
      <c r="C47" s="9" t="s">
        <v>246</v>
      </c>
      <c r="D47" s="8" t="s">
        <v>202</v>
      </c>
      <c r="E47" s="8">
        <v>3</v>
      </c>
      <c r="F47" s="8">
        <v>6</v>
      </c>
      <c r="G47" s="8">
        <v>1</v>
      </c>
      <c r="H47" s="8">
        <v>3</v>
      </c>
      <c r="I47" s="8" t="s">
        <v>42</v>
      </c>
      <c r="J47" s="8" t="s">
        <v>43</v>
      </c>
      <c r="K47" s="4" t="s">
        <v>247</v>
      </c>
      <c r="L47" s="4" t="s">
        <v>248</v>
      </c>
      <c r="M47" s="4" t="s">
        <v>249</v>
      </c>
      <c r="N47" s="4" t="s">
        <v>47</v>
      </c>
      <c r="O47" s="8">
        <v>1</v>
      </c>
      <c r="P47" s="4" t="s">
        <v>48</v>
      </c>
      <c r="Q47" s="8">
        <v>2</v>
      </c>
      <c r="R47" s="4" t="s">
        <v>75</v>
      </c>
      <c r="S47" s="8">
        <v>1</v>
      </c>
      <c r="T47" s="4"/>
      <c r="U47" s="8"/>
      <c r="V47" s="8"/>
      <c r="W47" s="20" cm="1">
        <f t="array" ref="W47">IF(N(F47)=0,"",MAX(INDEX({1.5;2.5;4;6;10;16;25;35;50;70;95;120;150;185;240},MATCH(TRUE,{16;24;32;41;57;76;100;125;150;190;230;265;300;345;410}&gt;=F47,0)),INDEX({1.5;2.5;4;6;10;16;25;35;50;70;95;120;150;185;240},MATCH(TRUE,{1.5;2.5;4;6;10;16;25;35;50;70;95;120;150;185;240}&gt;=0.00128*F47*V47,0))))</f>
        <v>1.5</v>
      </c>
      <c r="X47" s="8"/>
      <c r="Y47" s="8"/>
      <c r="Z47" s="8"/>
      <c r="AA47" s="8"/>
      <c r="AB47" s="8"/>
      <c r="AC47" s="8"/>
      <c r="AD47" s="4" t="s">
        <v>241</v>
      </c>
    </row>
    <row r="48" ht="28" customHeight="1" spans="1:30">
      <c r="A48" s="8">
        <v>45</v>
      </c>
      <c r="B48" s="22"/>
      <c r="C48" s="11"/>
      <c r="D48" s="8" t="s">
        <v>207</v>
      </c>
      <c r="E48" s="8">
        <v>1.1</v>
      </c>
      <c r="F48" s="8">
        <v>2.2</v>
      </c>
      <c r="G48" s="8">
        <v>1</v>
      </c>
      <c r="H48" s="8">
        <v>1.1</v>
      </c>
      <c r="I48" s="8" t="s">
        <v>42</v>
      </c>
      <c r="J48" s="8" t="s">
        <v>43</v>
      </c>
      <c r="K48" s="4" t="s">
        <v>250</v>
      </c>
      <c r="L48" s="4" t="s">
        <v>251</v>
      </c>
      <c r="M48" s="4" t="s">
        <v>252</v>
      </c>
      <c r="N48" s="4" t="s">
        <v>47</v>
      </c>
      <c r="O48" s="8">
        <v>1</v>
      </c>
      <c r="P48" s="4" t="s">
        <v>48</v>
      </c>
      <c r="Q48" s="8">
        <v>2</v>
      </c>
      <c r="R48" s="4"/>
      <c r="S48" s="8"/>
      <c r="T48" s="4"/>
      <c r="U48" s="8"/>
      <c r="V48" s="8"/>
      <c r="W48" s="20" cm="1">
        <f t="array" ref="W48">IF(N(F48)=0,"",MAX(INDEX({1.5;2.5;4;6;10;16;25;35;50;70;95;120;150;185;240},MATCH(TRUE,{16;24;32;41;57;76;100;125;150;190;230;265;300;345;410}&gt;=F48,0)),INDEX({1.5;2.5;4;6;10;16;25;35;50;70;95;120;150;185;240},MATCH(TRUE,{1.5;2.5;4;6;10;16;25;35;50;70;95;120;150;185;240}&gt;=0.00128*F48*V48,0))))</f>
        <v>1.5</v>
      </c>
      <c r="X48" s="8"/>
      <c r="Y48" s="8"/>
      <c r="Z48" s="8"/>
      <c r="AA48" s="8"/>
      <c r="AB48" s="8"/>
      <c r="AC48" s="8"/>
      <c r="AD48" s="4"/>
    </row>
    <row r="49" ht="28" customHeight="1" spans="1:30">
      <c r="A49" s="8">
        <v>46</v>
      </c>
      <c r="B49" s="19" t="s">
        <v>253</v>
      </c>
      <c r="C49" s="9" t="s">
        <v>254</v>
      </c>
      <c r="D49" s="8" t="s">
        <v>202</v>
      </c>
      <c r="E49" s="8">
        <v>3</v>
      </c>
      <c r="F49" s="8">
        <v>6</v>
      </c>
      <c r="G49" s="8">
        <v>1</v>
      </c>
      <c r="H49" s="8">
        <v>3</v>
      </c>
      <c r="I49" s="8" t="s">
        <v>42</v>
      </c>
      <c r="J49" s="8" t="s">
        <v>43</v>
      </c>
      <c r="K49" s="4" t="s">
        <v>255</v>
      </c>
      <c r="L49" s="4" t="s">
        <v>256</v>
      </c>
      <c r="M49" s="4" t="s">
        <v>257</v>
      </c>
      <c r="N49" s="4" t="s">
        <v>47</v>
      </c>
      <c r="O49" s="8">
        <v>1</v>
      </c>
      <c r="P49" s="4" t="s">
        <v>48</v>
      </c>
      <c r="Q49" s="8">
        <v>2</v>
      </c>
      <c r="R49" s="4" t="s">
        <v>75</v>
      </c>
      <c r="S49" s="8">
        <v>1</v>
      </c>
      <c r="T49" s="4"/>
      <c r="U49" s="8"/>
      <c r="V49" s="8"/>
      <c r="W49" s="20" cm="1">
        <f t="array" ref="W49">IF(N(F49)=0,"",MAX(INDEX({1.5;2.5;4;6;10;16;25;35;50;70;95;120;150;185;240},MATCH(TRUE,{16;24;32;41;57;76;100;125;150;190;230;265;300;345;410}&gt;=F49,0)),INDEX({1.5;2.5;4;6;10;16;25;35;50;70;95;120;150;185;240},MATCH(TRUE,{1.5;2.5;4;6;10;16;25;35;50;70;95;120;150;185;240}&gt;=0.00128*F49*V49,0))))</f>
        <v>1.5</v>
      </c>
      <c r="X49" s="8"/>
      <c r="Y49" s="8"/>
      <c r="Z49" s="8"/>
      <c r="AA49" s="8"/>
      <c r="AB49" s="8"/>
      <c r="AC49" s="8"/>
      <c r="AD49" s="4" t="s">
        <v>258</v>
      </c>
    </row>
    <row r="50" ht="28" customHeight="1" spans="1:30">
      <c r="A50" s="8">
        <v>47</v>
      </c>
      <c r="B50" s="22"/>
      <c r="C50" s="11"/>
      <c r="D50" s="8" t="s">
        <v>207</v>
      </c>
      <c r="E50" s="8">
        <v>1.1</v>
      </c>
      <c r="F50" s="8">
        <v>2.2</v>
      </c>
      <c r="G50" s="8">
        <v>1</v>
      </c>
      <c r="H50" s="8">
        <v>1.1</v>
      </c>
      <c r="I50" s="8" t="s">
        <v>42</v>
      </c>
      <c r="J50" s="8" t="s">
        <v>43</v>
      </c>
      <c r="K50" s="4" t="s">
        <v>259</v>
      </c>
      <c r="L50" s="4" t="s">
        <v>260</v>
      </c>
      <c r="M50" s="4" t="s">
        <v>261</v>
      </c>
      <c r="N50" s="4" t="s">
        <v>47</v>
      </c>
      <c r="O50" s="8">
        <v>1</v>
      </c>
      <c r="P50" s="4" t="s">
        <v>48</v>
      </c>
      <c r="Q50" s="8">
        <v>2</v>
      </c>
      <c r="R50" s="4"/>
      <c r="S50" s="8"/>
      <c r="T50" s="4"/>
      <c r="U50" s="8"/>
      <c r="V50" s="8"/>
      <c r="W50" s="20" cm="1">
        <f t="array" ref="W50">IF(N(F50)=0,"",MAX(INDEX({1.5;2.5;4;6;10;16;25;35;50;70;95;120;150;185;240},MATCH(TRUE,{16;24;32;41;57;76;100;125;150;190;230;265;300;345;410}&gt;=F50,0)),INDEX({1.5;2.5;4;6;10;16;25;35;50;70;95;120;150;185;240},MATCH(TRUE,{1.5;2.5;4;6;10;16;25;35;50;70;95;120;150;185;240}&gt;=0.00128*F50*V50,0))))</f>
        <v>1.5</v>
      </c>
      <c r="X50" s="8"/>
      <c r="Y50" s="8"/>
      <c r="Z50" s="8"/>
      <c r="AA50" s="8"/>
      <c r="AB50" s="8"/>
      <c r="AC50" s="8"/>
      <c r="AD50" s="4" t="s">
        <v>262</v>
      </c>
    </row>
    <row r="51" ht="28" customHeight="1" spans="1:30">
      <c r="A51" s="8">
        <v>48</v>
      </c>
      <c r="B51" s="9" t="s">
        <v>263</v>
      </c>
      <c r="C51" s="9" t="s">
        <v>264</v>
      </c>
      <c r="D51" s="8" t="s">
        <v>127</v>
      </c>
      <c r="E51" s="8">
        <v>2.2</v>
      </c>
      <c r="F51" s="8">
        <v>4.4</v>
      </c>
      <c r="G51" s="8">
        <v>1</v>
      </c>
      <c r="H51" s="8">
        <v>2.2</v>
      </c>
      <c r="I51" s="8" t="s">
        <v>42</v>
      </c>
      <c r="J51" s="9" t="s">
        <v>133</v>
      </c>
      <c r="K51" s="9" t="s">
        <v>265</v>
      </c>
      <c r="L51" s="4"/>
      <c r="M51" s="4"/>
      <c r="N51" s="4"/>
      <c r="O51" s="8"/>
      <c r="P51" s="4"/>
      <c r="Q51" s="8"/>
      <c r="R51" s="4"/>
      <c r="S51" s="8"/>
      <c r="T51" s="4"/>
      <c r="U51" s="8"/>
      <c r="V51" s="9"/>
      <c r="W51" s="24" cm="1">
        <f t="array" ref="W51">IF(N(F51)=0,"",MAX(INDEX({1.5;2.5;4;6;10;16;25;35;50;70;95;120;150;185;240},MATCH(TRUE,{16;24;32;41;57;76;100;125;150;190;230;265;300;345;410}&gt;=F51,0)),INDEX({1.5;2.5;4;6;10;16;25;35;50;70;95;120;150;185;240},MATCH(TRUE,{1.5;2.5;4;6;10;16;25;35;50;70;95;120;150;185;240}&gt;=0.00128*F51*V51,0))))</f>
        <v>1.5</v>
      </c>
      <c r="X51" s="8"/>
      <c r="Y51" s="8"/>
      <c r="Z51" s="8"/>
      <c r="AA51" s="8"/>
      <c r="AB51" s="8"/>
      <c r="AC51" s="8"/>
      <c r="AD51" s="4"/>
    </row>
    <row r="52" ht="28" customHeight="1" spans="1:30">
      <c r="A52" s="8">
        <v>49</v>
      </c>
      <c r="B52" s="10"/>
      <c r="C52" s="11"/>
      <c r="D52" s="8" t="s">
        <v>132</v>
      </c>
      <c r="E52" s="8"/>
      <c r="F52" s="8"/>
      <c r="G52" s="8">
        <v>1</v>
      </c>
      <c r="H52" s="8"/>
      <c r="I52" s="8" t="s">
        <v>114</v>
      </c>
      <c r="J52" s="11"/>
      <c r="K52" s="10"/>
      <c r="L52" s="4"/>
      <c r="M52" s="4"/>
      <c r="N52" s="4"/>
      <c r="O52" s="8"/>
      <c r="P52" s="4"/>
      <c r="Q52" s="8"/>
      <c r="R52" s="4"/>
      <c r="S52" s="8"/>
      <c r="T52" s="4"/>
      <c r="U52" s="8"/>
      <c r="V52" s="10"/>
      <c r="W52" s="25"/>
      <c r="X52" s="8"/>
      <c r="Y52" s="8"/>
      <c r="Z52" s="8"/>
      <c r="AA52" s="8"/>
      <c r="AB52" s="8"/>
      <c r="AC52" s="8"/>
      <c r="AD52" s="4" t="s">
        <v>266</v>
      </c>
    </row>
    <row r="53" ht="28" customHeight="1" spans="1:30">
      <c r="A53" s="8">
        <v>50</v>
      </c>
      <c r="B53" s="10"/>
      <c r="C53" s="9" t="s">
        <v>267</v>
      </c>
      <c r="D53" s="8" t="s">
        <v>127</v>
      </c>
      <c r="E53" s="8">
        <v>2.2</v>
      </c>
      <c r="F53" s="8">
        <v>4.4</v>
      </c>
      <c r="G53" s="8">
        <v>1</v>
      </c>
      <c r="H53" s="8">
        <v>2.2</v>
      </c>
      <c r="I53" s="8" t="s">
        <v>42</v>
      </c>
      <c r="J53" s="9" t="s">
        <v>133</v>
      </c>
      <c r="K53" s="10"/>
      <c r="L53" s="4"/>
      <c r="M53" s="4"/>
      <c r="N53" s="4"/>
      <c r="O53" s="8"/>
      <c r="P53" s="4"/>
      <c r="Q53" s="8"/>
      <c r="R53" s="4"/>
      <c r="S53" s="8"/>
      <c r="T53" s="4"/>
      <c r="U53" s="8"/>
      <c r="V53" s="9"/>
      <c r="W53" s="24" cm="1">
        <f t="array" ref="W53">IF(N(F53)=0,"",MAX(INDEX({1.5;2.5;4;6;10;16;25;35;50;70;95;120;150;185;240},MATCH(TRUE,{16;24;32;41;57;76;100;125;150;190;230;265;300;345;410}&gt;=F53,0)),INDEX({1.5;2.5;4;6;10;16;25;35;50;70;95;120;150;185;240},MATCH(TRUE,{1.5;2.5;4;6;10;16;25;35;50;70;95;120;150;185;240}&gt;=0.00128*F53*V53,0))))</f>
        <v>1.5</v>
      </c>
      <c r="X53" s="8"/>
      <c r="Y53" s="8"/>
      <c r="Z53" s="8"/>
      <c r="AA53" s="8"/>
      <c r="AB53" s="8"/>
      <c r="AC53" s="8"/>
      <c r="AD53" s="4"/>
    </row>
    <row r="54" ht="28" customHeight="1" spans="1:30">
      <c r="A54" s="8">
        <v>51</v>
      </c>
      <c r="B54" s="10"/>
      <c r="C54" s="11"/>
      <c r="D54" s="8" t="s">
        <v>132</v>
      </c>
      <c r="E54" s="8"/>
      <c r="F54" s="8"/>
      <c r="G54" s="8">
        <v>1</v>
      </c>
      <c r="H54" s="8"/>
      <c r="I54" s="8" t="s">
        <v>114</v>
      </c>
      <c r="J54" s="11"/>
      <c r="K54" s="10"/>
      <c r="L54" s="4"/>
      <c r="M54" s="4"/>
      <c r="N54" s="4"/>
      <c r="O54" s="8"/>
      <c r="P54" s="4"/>
      <c r="Q54" s="8"/>
      <c r="R54" s="4"/>
      <c r="S54" s="8"/>
      <c r="T54" s="4"/>
      <c r="U54" s="8"/>
      <c r="V54" s="10"/>
      <c r="W54" s="25"/>
      <c r="X54" s="8"/>
      <c r="Y54" s="8"/>
      <c r="Z54" s="8"/>
      <c r="AA54" s="8"/>
      <c r="AB54" s="8"/>
      <c r="AC54" s="8"/>
      <c r="AD54" s="4" t="s">
        <v>266</v>
      </c>
    </row>
    <row r="55" ht="28" customHeight="1" spans="1:30">
      <c r="A55" s="8">
        <v>52</v>
      </c>
      <c r="B55" s="10"/>
      <c r="C55" s="9" t="s">
        <v>268</v>
      </c>
      <c r="D55" s="8" t="s">
        <v>127</v>
      </c>
      <c r="E55" s="8">
        <v>2.2</v>
      </c>
      <c r="F55" s="8">
        <v>4.4</v>
      </c>
      <c r="G55" s="8">
        <v>1</v>
      </c>
      <c r="H55" s="8">
        <v>2.2</v>
      </c>
      <c r="I55" s="8" t="s">
        <v>42</v>
      </c>
      <c r="J55" s="9" t="s">
        <v>133</v>
      </c>
      <c r="K55" s="10"/>
      <c r="L55" s="4"/>
      <c r="M55" s="4"/>
      <c r="N55" s="4"/>
      <c r="O55" s="8"/>
      <c r="P55" s="4"/>
      <c r="Q55" s="8"/>
      <c r="R55" s="4"/>
      <c r="S55" s="8"/>
      <c r="T55" s="4"/>
      <c r="U55" s="8"/>
      <c r="V55" s="9"/>
      <c r="W55" s="24" cm="1">
        <f t="array" ref="W55">IF(N(F55)=0,"",MAX(INDEX({1.5;2.5;4;6;10;16;25;35;50;70;95;120;150;185;240},MATCH(TRUE,{16;24;32;41;57;76;100;125;150;190;230;265;300;345;410}&gt;=F55,0)),INDEX({1.5;2.5;4;6;10;16;25;35;50;70;95;120;150;185;240},MATCH(TRUE,{1.5;2.5;4;6;10;16;25;35;50;70;95;120;150;185;240}&gt;=0.00128*F55*V55,0))))</f>
        <v>1.5</v>
      </c>
      <c r="X55" s="8"/>
      <c r="Y55" s="8"/>
      <c r="Z55" s="8"/>
      <c r="AA55" s="8"/>
      <c r="AB55" s="8"/>
      <c r="AC55" s="8"/>
      <c r="AD55" s="4"/>
    </row>
    <row r="56" ht="28" customHeight="1" spans="1:30">
      <c r="A56" s="8">
        <v>53</v>
      </c>
      <c r="B56" s="10"/>
      <c r="C56" s="11"/>
      <c r="D56" s="8" t="s">
        <v>132</v>
      </c>
      <c r="E56" s="8"/>
      <c r="F56" s="8"/>
      <c r="G56" s="8">
        <v>1</v>
      </c>
      <c r="H56" s="8"/>
      <c r="I56" s="8" t="s">
        <v>114</v>
      </c>
      <c r="J56" s="11"/>
      <c r="K56" s="10"/>
      <c r="L56" s="4"/>
      <c r="M56" s="4"/>
      <c r="N56" s="4"/>
      <c r="O56" s="8"/>
      <c r="P56" s="4"/>
      <c r="Q56" s="8"/>
      <c r="R56" s="4"/>
      <c r="S56" s="8"/>
      <c r="T56" s="4"/>
      <c r="U56" s="8"/>
      <c r="V56" s="10"/>
      <c r="W56" s="25"/>
      <c r="X56" s="8"/>
      <c r="Y56" s="8"/>
      <c r="Z56" s="8"/>
      <c r="AA56" s="8"/>
      <c r="AB56" s="8"/>
      <c r="AC56" s="8"/>
      <c r="AD56" s="4" t="s">
        <v>266</v>
      </c>
    </row>
    <row r="57" ht="28" customHeight="1" spans="1:30">
      <c r="A57" s="8">
        <v>54</v>
      </c>
      <c r="B57" s="10"/>
      <c r="C57" s="9" t="s">
        <v>269</v>
      </c>
      <c r="D57" s="8" t="s">
        <v>127</v>
      </c>
      <c r="E57" s="8">
        <v>2.2</v>
      </c>
      <c r="F57" s="8">
        <v>4.4</v>
      </c>
      <c r="G57" s="8">
        <v>1</v>
      </c>
      <c r="H57" s="8">
        <v>2.2</v>
      </c>
      <c r="I57" s="8" t="s">
        <v>42</v>
      </c>
      <c r="J57" s="9" t="s">
        <v>133</v>
      </c>
      <c r="K57" s="10"/>
      <c r="L57" s="4"/>
      <c r="M57" s="4"/>
      <c r="N57" s="4"/>
      <c r="O57" s="8"/>
      <c r="P57" s="4"/>
      <c r="Q57" s="8"/>
      <c r="R57" s="4"/>
      <c r="S57" s="8"/>
      <c r="T57" s="4"/>
      <c r="U57" s="8"/>
      <c r="V57" s="9"/>
      <c r="W57" s="24" cm="1">
        <f t="array" ref="W57">IF(N(F57)=0,"",MAX(INDEX({1.5;2.5;4;6;10;16;25;35;50;70;95;120;150;185;240},MATCH(TRUE,{16;24;32;41;57;76;100;125;150;190;230;265;300;345;410}&gt;=F57,0)),INDEX({1.5;2.5;4;6;10;16;25;35;50;70;95;120;150;185;240},MATCH(TRUE,{1.5;2.5;4;6;10;16;25;35;50;70;95;120;150;185;240}&gt;=0.00128*F57*V57,0))))</f>
        <v>1.5</v>
      </c>
      <c r="X57" s="8"/>
      <c r="Y57" s="8"/>
      <c r="Z57" s="8"/>
      <c r="AA57" s="8"/>
      <c r="AB57" s="8"/>
      <c r="AC57" s="8"/>
      <c r="AD57" s="4"/>
    </row>
    <row r="58" ht="28" customHeight="1" spans="1:30">
      <c r="A58" s="8">
        <v>55</v>
      </c>
      <c r="B58" s="10"/>
      <c r="C58" s="11"/>
      <c r="D58" s="8" t="s">
        <v>132</v>
      </c>
      <c r="E58" s="8"/>
      <c r="F58" s="8"/>
      <c r="G58" s="8">
        <v>1</v>
      </c>
      <c r="H58" s="8"/>
      <c r="I58" s="8" t="s">
        <v>114</v>
      </c>
      <c r="J58" s="11"/>
      <c r="K58" s="10"/>
      <c r="L58" s="4"/>
      <c r="M58" s="4"/>
      <c r="N58" s="4"/>
      <c r="O58" s="8"/>
      <c r="P58" s="4"/>
      <c r="Q58" s="8"/>
      <c r="R58" s="4"/>
      <c r="S58" s="8"/>
      <c r="T58" s="4"/>
      <c r="U58" s="8"/>
      <c r="V58" s="10"/>
      <c r="W58" s="25"/>
      <c r="X58" s="8"/>
      <c r="Y58" s="8"/>
      <c r="Z58" s="8"/>
      <c r="AA58" s="8"/>
      <c r="AB58" s="8"/>
      <c r="AC58" s="8"/>
      <c r="AD58" s="4" t="s">
        <v>266</v>
      </c>
    </row>
    <row r="59" ht="28" customHeight="1" spans="1:30">
      <c r="A59" s="8">
        <v>56</v>
      </c>
      <c r="B59" s="10"/>
      <c r="C59" s="9" t="s">
        <v>270</v>
      </c>
      <c r="D59" s="8" t="s">
        <v>127</v>
      </c>
      <c r="E59" s="8">
        <v>2.2</v>
      </c>
      <c r="F59" s="8">
        <v>4.4</v>
      </c>
      <c r="G59" s="8">
        <v>1</v>
      </c>
      <c r="H59" s="8">
        <v>2.2</v>
      </c>
      <c r="I59" s="8" t="s">
        <v>42</v>
      </c>
      <c r="J59" s="9" t="s">
        <v>133</v>
      </c>
      <c r="K59" s="10"/>
      <c r="L59" s="4"/>
      <c r="M59" s="4"/>
      <c r="N59" s="4"/>
      <c r="O59" s="8"/>
      <c r="P59" s="4"/>
      <c r="Q59" s="8"/>
      <c r="R59" s="4"/>
      <c r="S59" s="8"/>
      <c r="T59" s="4"/>
      <c r="U59" s="8"/>
      <c r="V59" s="9"/>
      <c r="W59" s="24" cm="1">
        <f t="array" ref="W59">IF(N(F59)=0,"",MAX(INDEX({1.5;2.5;4;6;10;16;25;35;50;70;95;120;150;185;240},MATCH(TRUE,{16;24;32;41;57;76;100;125;150;190;230;265;300;345;410}&gt;=F59,0)),INDEX({1.5;2.5;4;6;10;16;25;35;50;70;95;120;150;185;240},MATCH(TRUE,{1.5;2.5;4;6;10;16;25;35;50;70;95;120;150;185;240}&gt;=0.00128*F59*V59,0))))</f>
        <v>1.5</v>
      </c>
      <c r="X59" s="8"/>
      <c r="Y59" s="8"/>
      <c r="Z59" s="8"/>
      <c r="AA59" s="8"/>
      <c r="AB59" s="8"/>
      <c r="AC59" s="8"/>
      <c r="AD59" s="4"/>
    </row>
    <row r="60" ht="28" customHeight="1" spans="1:30">
      <c r="A60" s="8">
        <v>57</v>
      </c>
      <c r="B60" s="10"/>
      <c r="C60" s="10"/>
      <c r="D60" s="8" t="s">
        <v>271</v>
      </c>
      <c r="E60" s="8"/>
      <c r="F60" s="8"/>
      <c r="G60" s="8">
        <v>1</v>
      </c>
      <c r="H60" s="8"/>
      <c r="I60" s="8" t="s">
        <v>114</v>
      </c>
      <c r="J60" s="10"/>
      <c r="K60" s="10"/>
      <c r="L60" s="4"/>
      <c r="M60" s="4"/>
      <c r="N60" s="4"/>
      <c r="O60" s="8"/>
      <c r="P60" s="4"/>
      <c r="Q60" s="8"/>
      <c r="R60" s="4"/>
      <c r="S60" s="8"/>
      <c r="T60" s="4"/>
      <c r="U60" s="8"/>
      <c r="V60" s="10"/>
      <c r="W60" s="26"/>
      <c r="X60" s="8"/>
      <c r="Y60" s="8"/>
      <c r="Z60" s="8"/>
      <c r="AA60" s="8"/>
      <c r="AB60" s="8"/>
      <c r="AC60" s="8"/>
      <c r="AD60" s="4" t="s">
        <v>266</v>
      </c>
    </row>
    <row r="61" ht="28" customHeight="1" spans="1:30">
      <c r="A61" s="8">
        <v>58</v>
      </c>
      <c r="B61" s="10"/>
      <c r="C61" s="11"/>
      <c r="D61" s="8" t="s">
        <v>272</v>
      </c>
      <c r="E61" s="8"/>
      <c r="F61" s="8"/>
      <c r="G61" s="8">
        <v>1</v>
      </c>
      <c r="H61" s="8"/>
      <c r="I61" s="8" t="s">
        <v>114</v>
      </c>
      <c r="J61" s="11"/>
      <c r="K61" s="10"/>
      <c r="L61" s="4"/>
      <c r="M61" s="4"/>
      <c r="N61" s="4"/>
      <c r="O61" s="8"/>
      <c r="P61" s="4"/>
      <c r="Q61" s="8"/>
      <c r="R61" s="4"/>
      <c r="S61" s="8"/>
      <c r="T61" s="4"/>
      <c r="U61" s="8"/>
      <c r="V61" s="11"/>
      <c r="W61" s="25"/>
      <c r="X61" s="8"/>
      <c r="Y61" s="8"/>
      <c r="Z61" s="8"/>
      <c r="AA61" s="8"/>
      <c r="AB61" s="8"/>
      <c r="AC61" s="8"/>
      <c r="AD61" s="4" t="s">
        <v>273</v>
      </c>
    </row>
    <row r="62" ht="28" customHeight="1" spans="1:30">
      <c r="A62" s="8">
        <v>59</v>
      </c>
      <c r="B62" s="10"/>
      <c r="C62" s="9" t="s">
        <v>274</v>
      </c>
      <c r="D62" s="8" t="s">
        <v>127</v>
      </c>
      <c r="E62" s="8">
        <v>2.2</v>
      </c>
      <c r="F62" s="8">
        <v>4.4</v>
      </c>
      <c r="G62" s="8">
        <v>1</v>
      </c>
      <c r="H62" s="8">
        <v>2.2</v>
      </c>
      <c r="I62" s="8" t="s">
        <v>42</v>
      </c>
      <c r="J62" s="9" t="s">
        <v>133</v>
      </c>
      <c r="K62" s="10"/>
      <c r="L62" s="4"/>
      <c r="M62" s="4"/>
      <c r="N62" s="4"/>
      <c r="O62" s="8"/>
      <c r="P62" s="4"/>
      <c r="Q62" s="8"/>
      <c r="R62" s="4"/>
      <c r="S62" s="8"/>
      <c r="T62" s="4"/>
      <c r="U62" s="8"/>
      <c r="V62" s="9"/>
      <c r="W62" s="24" cm="1">
        <f t="array" ref="W62">IF(N(F62)=0,"",MAX(INDEX({1.5;2.5;4;6;10;16;25;35;50;70;95;120;150;185;240},MATCH(TRUE,{16;24;32;41;57;76;100;125;150;190;230;265;300;345;410}&gt;=F62,0)),INDEX({1.5;2.5;4;6;10;16;25;35;50;70;95;120;150;185;240},MATCH(TRUE,{1.5;2.5;4;6;10;16;25;35;50;70;95;120;150;185;240}&gt;=0.00128*F62*V62,0))))</f>
        <v>1.5</v>
      </c>
      <c r="X62" s="8"/>
      <c r="Y62" s="8"/>
      <c r="Z62" s="8"/>
      <c r="AA62" s="8"/>
      <c r="AB62" s="8"/>
      <c r="AC62" s="8"/>
      <c r="AD62" s="4"/>
    </row>
    <row r="63" ht="28" customHeight="1" spans="1:30">
      <c r="A63" s="8">
        <v>60</v>
      </c>
      <c r="B63" s="10"/>
      <c r="C63" s="10"/>
      <c r="D63" s="8" t="s">
        <v>132</v>
      </c>
      <c r="E63" s="8"/>
      <c r="F63" s="8"/>
      <c r="G63" s="8">
        <v>1</v>
      </c>
      <c r="H63" s="8"/>
      <c r="I63" s="8" t="s">
        <v>114</v>
      </c>
      <c r="J63" s="10"/>
      <c r="K63" s="10"/>
      <c r="L63" s="4"/>
      <c r="M63" s="4"/>
      <c r="N63" s="4"/>
      <c r="O63" s="8"/>
      <c r="P63" s="4"/>
      <c r="Q63" s="8"/>
      <c r="R63" s="4"/>
      <c r="S63" s="8"/>
      <c r="T63" s="4"/>
      <c r="U63" s="8"/>
      <c r="V63" s="10"/>
      <c r="W63" s="26"/>
      <c r="X63" s="8"/>
      <c r="Y63" s="8"/>
      <c r="Z63" s="8"/>
      <c r="AA63" s="8"/>
      <c r="AB63" s="8"/>
      <c r="AC63" s="8"/>
      <c r="AD63" s="4" t="s">
        <v>266</v>
      </c>
    </row>
    <row r="64" ht="28" customHeight="1" spans="1:30">
      <c r="A64" s="8">
        <v>61</v>
      </c>
      <c r="B64" s="10"/>
      <c r="C64" s="11"/>
      <c r="D64" s="8" t="s">
        <v>272</v>
      </c>
      <c r="E64" s="27"/>
      <c r="G64" s="8">
        <v>1</v>
      </c>
      <c r="H64" s="8"/>
      <c r="I64" s="8" t="s">
        <v>114</v>
      </c>
      <c r="J64" s="11"/>
      <c r="K64" s="10"/>
      <c r="L64" s="4"/>
      <c r="M64" s="4"/>
      <c r="N64" s="4"/>
      <c r="O64" s="8"/>
      <c r="P64" s="4"/>
      <c r="Q64" s="8"/>
      <c r="R64" s="4"/>
      <c r="S64" s="8"/>
      <c r="T64" s="4"/>
      <c r="U64" s="8"/>
      <c r="V64" s="11"/>
      <c r="W64" s="25"/>
      <c r="X64" s="8"/>
      <c r="Y64" s="8"/>
      <c r="Z64" s="8"/>
      <c r="AA64" s="8"/>
      <c r="AB64" s="8"/>
      <c r="AC64" s="8"/>
      <c r="AD64" s="4" t="s">
        <v>273</v>
      </c>
    </row>
    <row r="65" ht="28" customHeight="1" spans="1:30">
      <c r="A65" s="8">
        <v>62</v>
      </c>
      <c r="B65" s="10"/>
      <c r="C65" s="9" t="s">
        <v>275</v>
      </c>
      <c r="D65" s="8" t="s">
        <v>127</v>
      </c>
      <c r="E65" s="8">
        <v>2.2</v>
      </c>
      <c r="F65" s="8">
        <v>4.4</v>
      </c>
      <c r="G65" s="8">
        <v>1</v>
      </c>
      <c r="H65" s="8">
        <v>2.2</v>
      </c>
      <c r="I65" s="8" t="s">
        <v>42</v>
      </c>
      <c r="J65" s="9" t="s">
        <v>133</v>
      </c>
      <c r="K65" s="10"/>
      <c r="L65" s="4"/>
      <c r="M65" s="4"/>
      <c r="N65" s="4"/>
      <c r="O65" s="8"/>
      <c r="P65" s="4"/>
      <c r="Q65" s="8"/>
      <c r="R65" s="4"/>
      <c r="S65" s="8"/>
      <c r="T65" s="4"/>
      <c r="U65" s="8"/>
      <c r="V65" s="9"/>
      <c r="W65" s="24" cm="1">
        <f t="array" ref="W65">IF(N(F65)=0,"",MAX(INDEX({1.5;2.5;4;6;10;16;25;35;50;70;95;120;150;185;240},MATCH(TRUE,{16;24;32;41;57;76;100;125;150;190;230;265;300;345;410}&gt;=F65,0)),INDEX({1.5;2.5;4;6;10;16;25;35;50;70;95;120;150;185;240},MATCH(TRUE,{1.5;2.5;4;6;10;16;25;35;50;70;95;120;150;185;240}&gt;=0.00128*F65*V65,0))))</f>
        <v>1.5</v>
      </c>
      <c r="X65" s="8"/>
      <c r="Y65" s="8"/>
      <c r="Z65" s="8"/>
      <c r="AA65" s="8"/>
      <c r="AB65" s="8"/>
      <c r="AC65" s="8"/>
      <c r="AD65" s="4" t="s">
        <v>262</v>
      </c>
    </row>
    <row r="66" ht="28" customHeight="1" spans="1:30">
      <c r="A66" s="8">
        <v>63</v>
      </c>
      <c r="B66" s="10"/>
      <c r="C66" s="10"/>
      <c r="D66" s="8" t="s">
        <v>132</v>
      </c>
      <c r="E66" s="8"/>
      <c r="F66" s="8"/>
      <c r="G66" s="8">
        <v>1</v>
      </c>
      <c r="H66" s="8"/>
      <c r="I66" s="8" t="s">
        <v>114</v>
      </c>
      <c r="J66" s="10"/>
      <c r="K66" s="10"/>
      <c r="L66" s="4"/>
      <c r="M66" s="4"/>
      <c r="N66" s="4"/>
      <c r="O66" s="8"/>
      <c r="P66" s="4"/>
      <c r="Q66" s="8"/>
      <c r="R66" s="4"/>
      <c r="S66" s="8"/>
      <c r="T66" s="4"/>
      <c r="U66" s="8"/>
      <c r="V66" s="10"/>
      <c r="W66" s="26"/>
      <c r="X66" s="8"/>
      <c r="Y66" s="8"/>
      <c r="Z66" s="8"/>
      <c r="AA66" s="8"/>
      <c r="AB66" s="8"/>
      <c r="AC66" s="8"/>
      <c r="AD66" s="4" t="s">
        <v>262</v>
      </c>
    </row>
    <row r="67" ht="28" customHeight="1" spans="1:30">
      <c r="A67" s="8">
        <v>64</v>
      </c>
      <c r="B67" s="11"/>
      <c r="C67" s="11"/>
      <c r="D67" s="8" t="s">
        <v>272</v>
      </c>
      <c r="E67" s="8"/>
      <c r="F67" s="8"/>
      <c r="G67" s="8">
        <v>1</v>
      </c>
      <c r="H67" s="8"/>
      <c r="I67" s="8" t="s">
        <v>114</v>
      </c>
      <c r="J67" s="11"/>
      <c r="K67" s="11"/>
      <c r="L67" s="4"/>
      <c r="M67" s="4"/>
      <c r="N67" s="4"/>
      <c r="O67" s="8"/>
      <c r="P67" s="4"/>
      <c r="Q67" s="8"/>
      <c r="R67" s="4"/>
      <c r="S67" s="8"/>
      <c r="T67" s="4"/>
      <c r="U67" s="8"/>
      <c r="V67" s="11"/>
      <c r="W67" s="25"/>
      <c r="X67" s="8"/>
      <c r="Y67" s="8"/>
      <c r="Z67" s="8"/>
      <c r="AA67" s="8"/>
      <c r="AB67" s="8"/>
      <c r="AC67" s="8"/>
      <c r="AD67" s="4" t="s">
        <v>262</v>
      </c>
    </row>
    <row r="68" ht="43" customHeight="1" spans="1:30">
      <c r="A68" s="8">
        <v>65</v>
      </c>
      <c r="B68" s="4" t="s">
        <v>276</v>
      </c>
      <c r="C68" s="4" t="s">
        <v>276</v>
      </c>
      <c r="D68" s="8" t="s">
        <v>277</v>
      </c>
      <c r="E68" s="8">
        <v>0.035</v>
      </c>
      <c r="F68" s="8">
        <v>0.16</v>
      </c>
      <c r="G68" s="8">
        <v>1</v>
      </c>
      <c r="H68" s="8"/>
      <c r="I68" s="8" t="s">
        <v>114</v>
      </c>
      <c r="J68" s="8" t="s">
        <v>278</v>
      </c>
      <c r="K68" s="4"/>
      <c r="L68" s="4"/>
      <c r="M68" s="4" t="s">
        <v>279</v>
      </c>
      <c r="N68" s="4" t="s">
        <v>47</v>
      </c>
      <c r="O68" s="8">
        <v>1</v>
      </c>
      <c r="P68" s="4"/>
      <c r="Q68" s="8"/>
      <c r="R68" s="4"/>
      <c r="S68" s="8"/>
      <c r="T68" s="4"/>
      <c r="U68" s="8"/>
      <c r="V68" s="8"/>
      <c r="W68" s="20" cm="1">
        <f t="array" ref="W68">IF(N(F68)=0,"",MAX(INDEX({1.5;2.5;4;6;10;16;25;35;50;70;95;120;150;185;240},MATCH(TRUE,{16;24;32;41;57;76;100;125;150;190;230;265;300;345;410}&gt;=F68,0)),INDEX({1.5;2.5;4;6;10;16;25;35;50;70;95;120;150;185;240},MATCH(TRUE,{1.5;2.5;4;6;10;16;25;35;50;70;95;120;150;185;240}&gt;=0.00128*F68*V68,0))))</f>
        <v>1.5</v>
      </c>
      <c r="X68" s="8"/>
      <c r="Y68" s="8"/>
      <c r="Z68" s="8"/>
      <c r="AA68" s="8"/>
      <c r="AB68" s="8"/>
      <c r="AC68" s="8"/>
      <c r="AD68" s="4"/>
    </row>
    <row r="69" ht="28" customHeight="1" spans="1:30">
      <c r="A69" s="8">
        <v>66</v>
      </c>
      <c r="B69" s="4" t="s">
        <v>280</v>
      </c>
      <c r="C69" s="4" t="s">
        <v>281</v>
      </c>
      <c r="D69" s="8" t="s">
        <v>282</v>
      </c>
      <c r="E69" s="8">
        <v>0.04</v>
      </c>
      <c r="F69" s="8">
        <v>0.2</v>
      </c>
      <c r="G69" s="8">
        <v>1</v>
      </c>
      <c r="H69" s="8"/>
      <c r="I69" s="8" t="s">
        <v>114</v>
      </c>
      <c r="J69" s="8" t="s">
        <v>278</v>
      </c>
      <c r="K69" s="4"/>
      <c r="L69" s="4"/>
      <c r="M69" s="4" t="s">
        <v>283</v>
      </c>
      <c r="N69" s="4" t="s">
        <v>47</v>
      </c>
      <c r="O69" s="8">
        <v>1</v>
      </c>
      <c r="P69" s="4"/>
      <c r="Q69" s="8"/>
      <c r="R69" s="4"/>
      <c r="S69" s="8"/>
      <c r="T69" s="4"/>
      <c r="U69" s="8"/>
      <c r="V69" s="8"/>
      <c r="W69" s="20" cm="1">
        <f t="array" ref="W69">IF(N(F69)=0,"",MAX(INDEX({1.5;2.5;4;6;10;16;25;35;50;70;95;120;150;185;240},MATCH(TRUE,{16;24;32;41;57;76;100;125;150;190;230;265;300;345;410}&gt;=F69,0)),INDEX({1.5;2.5;4;6;10;16;25;35;50;70;95;120;150;185;240},MATCH(TRUE,{1.5;2.5;4;6;10;16;25;35;50;70;95;120;150;185;240}&gt;=0.00128*F69*V69,0))))</f>
        <v>1.5</v>
      </c>
      <c r="X69" s="8"/>
      <c r="Y69" s="8"/>
      <c r="Z69" s="8"/>
      <c r="AA69" s="8"/>
      <c r="AB69" s="8"/>
      <c r="AC69" s="8"/>
      <c r="AD69" s="4"/>
    </row>
    <row r="70" ht="28" customHeight="1" spans="1:30">
      <c r="A70" s="8">
        <v>67</v>
      </c>
      <c r="B70" s="4" t="s">
        <v>284</v>
      </c>
      <c r="C70" s="4" t="s">
        <v>285</v>
      </c>
      <c r="D70" s="8" t="s">
        <v>286</v>
      </c>
      <c r="E70" s="8">
        <v>0.03</v>
      </c>
      <c r="F70" s="8">
        <v>0.14</v>
      </c>
      <c r="G70" s="8">
        <v>5</v>
      </c>
      <c r="H70" s="8"/>
      <c r="I70" s="8" t="s">
        <v>114</v>
      </c>
      <c r="J70" s="8" t="s">
        <v>133</v>
      </c>
      <c r="K70" s="4" t="s">
        <v>287</v>
      </c>
      <c r="L70" s="4"/>
      <c r="M70" s="4"/>
      <c r="N70" s="4"/>
      <c r="O70" s="8"/>
      <c r="P70" s="4"/>
      <c r="Q70" s="8"/>
      <c r="R70" s="4"/>
      <c r="S70" s="8"/>
      <c r="T70" s="4"/>
      <c r="U70" s="8"/>
      <c r="V70" s="8"/>
      <c r="W70" s="20" cm="1">
        <f t="array" ref="W70">IF(N(F70)=0,"",MAX(INDEX({1.5;2.5;4;6;10;16;25;35;50;70;95;120;150;185;240},MATCH(TRUE,{16;24;32;41;57;76;100;125;150;190;230;265;300;345;410}&gt;=F70,0)),INDEX({1.5;2.5;4;6;10;16;25;35;50;70;95;120;150;185;240},MATCH(TRUE,{1.5;2.5;4;6;10;16;25;35;50;70;95;120;150;185;240}&gt;=0.00128*F70*V70,0))))</f>
        <v>1.5</v>
      </c>
      <c r="X70" s="8"/>
      <c r="Y70" s="8"/>
      <c r="Z70" s="8"/>
      <c r="AA70" s="8"/>
      <c r="AB70" s="8"/>
      <c r="AC70" s="8"/>
      <c r="AD70" s="4" t="s">
        <v>288</v>
      </c>
    </row>
    <row r="71" ht="28" customHeight="1" spans="1:30">
      <c r="A71" s="8">
        <v>69</v>
      </c>
      <c r="B71" s="19" t="s">
        <v>289</v>
      </c>
      <c r="C71" s="4" t="s">
        <v>290</v>
      </c>
      <c r="D71" s="8" t="s">
        <v>290</v>
      </c>
      <c r="E71" s="8"/>
      <c r="F71" s="8"/>
      <c r="G71" s="8"/>
      <c r="H71" s="8"/>
      <c r="I71" s="8" t="s">
        <v>42</v>
      </c>
      <c r="J71" s="8" t="s">
        <v>133</v>
      </c>
      <c r="K71" s="4" t="s">
        <v>291</v>
      </c>
      <c r="L71" s="4"/>
      <c r="M71" s="4"/>
      <c r="N71" s="4"/>
      <c r="O71" s="8"/>
      <c r="P71" s="4"/>
      <c r="Q71" s="8"/>
      <c r="R71" s="4"/>
      <c r="S71" s="8"/>
      <c r="T71" s="4"/>
      <c r="U71" s="8"/>
      <c r="V71" s="8"/>
      <c r="W71" s="20" t="str" cm="1">
        <f t="array" ref="W71">IF(N(F71)=0,"",MAX(INDEX({1.5;2.5;4;6;10;16;25;35;50;70;95;120;150;185;240},MATCH(TRUE,{16;24;32;41;57;76;100;125;150;190;230;265;300;345;410}&gt;=F71,0)),INDEX({1.5;2.5;4;6;10;16;25;35;50;70;95;120;150;185;240},MATCH(TRUE,{1.5;2.5;4;6;10;16;25;35;50;70;95;120;150;185;240}&gt;=0.00128*F71*V71,0))))</f>
        <v/>
      </c>
      <c r="X71" s="8"/>
      <c r="Y71" s="8"/>
      <c r="Z71" s="8"/>
      <c r="AA71" s="8"/>
      <c r="AB71" s="8"/>
      <c r="AC71" s="8"/>
      <c r="AD71" s="4"/>
    </row>
    <row r="72" ht="28" customHeight="1" spans="1:30">
      <c r="A72" s="8"/>
      <c r="B72" s="28"/>
      <c r="C72" s="4" t="s">
        <v>292</v>
      </c>
      <c r="D72" s="4" t="s">
        <v>292</v>
      </c>
      <c r="E72" s="8"/>
      <c r="F72" s="8"/>
      <c r="G72" s="8"/>
      <c r="H72" s="8"/>
      <c r="I72" s="8" t="s">
        <v>114</v>
      </c>
      <c r="J72" s="8" t="s">
        <v>133</v>
      </c>
      <c r="K72" s="4" t="s">
        <v>293</v>
      </c>
      <c r="L72" s="4"/>
      <c r="M72" s="4"/>
      <c r="N72" s="4"/>
      <c r="O72" s="8"/>
      <c r="P72" s="4"/>
      <c r="Q72" s="8"/>
      <c r="R72" s="4"/>
      <c r="S72" s="8"/>
      <c r="T72" s="4"/>
      <c r="U72" s="8"/>
      <c r="V72" s="8"/>
      <c r="W72" s="20" t="str" cm="1">
        <f t="array" ref="W72">IF(N(F72)=0,"",MAX(INDEX({1.5;2.5;4;6;10;16;25;35;50;70;95;120;150;185;240},MATCH(TRUE,{16;24;32;41;57;76;100;125;150;190;230;265;300;345;410}&gt;=F72,0)),INDEX({1.5;2.5;4;6;10;16;25;35;50;70;95;120;150;185;240},MATCH(TRUE,{1.5;2.5;4;6;10;16;25;35;50;70;95;120;150;185;240}&gt;=0.00128*F72*V72,0))))</f>
        <v/>
      </c>
      <c r="X72" s="8"/>
      <c r="Y72" s="8"/>
      <c r="Z72" s="8"/>
      <c r="AA72" s="8"/>
      <c r="AB72" s="8"/>
      <c r="AC72" s="8"/>
      <c r="AD72" s="4"/>
    </row>
    <row r="73" ht="28" customHeight="1" spans="1:30">
      <c r="A73" s="8">
        <v>70</v>
      </c>
      <c r="B73" s="21"/>
      <c r="C73" s="4" t="s">
        <v>294</v>
      </c>
      <c r="D73" s="8" t="s">
        <v>294</v>
      </c>
      <c r="E73" s="8"/>
      <c r="F73" s="8"/>
      <c r="G73" s="8"/>
      <c r="H73" s="8"/>
      <c r="I73" s="8" t="s">
        <v>114</v>
      </c>
      <c r="J73" s="8" t="s">
        <v>133</v>
      </c>
      <c r="K73" s="4" t="s">
        <v>295</v>
      </c>
      <c r="L73" s="4"/>
      <c r="M73" s="4"/>
      <c r="N73" s="4"/>
      <c r="O73" s="8"/>
      <c r="P73" s="4"/>
      <c r="Q73" s="8"/>
      <c r="R73" s="4"/>
      <c r="S73" s="8"/>
      <c r="T73" s="4"/>
      <c r="U73" s="8"/>
      <c r="V73" s="8"/>
      <c r="W73" s="20" t="str" cm="1">
        <f t="array" ref="W73">IF(N(F73)=0,"",MAX(INDEX({1.5;2.5;4;6;10;16;25;35;50;70;95;120;150;185;240},MATCH(TRUE,{16;24;32;41;57;76;100;125;150;190;230;265;300;345;410}&gt;=F73,0)),INDEX({1.5;2.5;4;6;10;16;25;35;50;70;95;120;150;185;240},MATCH(TRUE,{1.5;2.5;4;6;10;16;25;35;50;70;95;120;150;185;240}&gt;=0.00128*F73*V73,0))))</f>
        <v/>
      </c>
      <c r="X73" s="8"/>
      <c r="Y73" s="8"/>
      <c r="Z73" s="8"/>
      <c r="AA73" s="8"/>
      <c r="AB73" s="8"/>
      <c r="AC73" s="8"/>
      <c r="AD73" s="4"/>
    </row>
    <row r="74" ht="28" customHeight="1" spans="1:30">
      <c r="A74" s="8">
        <v>71</v>
      </c>
      <c r="B74" s="21"/>
      <c r="C74" s="4" t="s">
        <v>296</v>
      </c>
      <c r="D74" s="8" t="s">
        <v>296</v>
      </c>
      <c r="E74" s="8"/>
      <c r="F74" s="8"/>
      <c r="G74" s="8"/>
      <c r="H74" s="8"/>
      <c r="I74" s="8" t="s">
        <v>114</v>
      </c>
      <c r="J74" s="8" t="s">
        <v>133</v>
      </c>
      <c r="K74" s="4" t="s">
        <v>297</v>
      </c>
      <c r="L74" s="4"/>
      <c r="M74" s="4"/>
      <c r="N74" s="4"/>
      <c r="O74" s="8"/>
      <c r="P74" s="4"/>
      <c r="Q74" s="8"/>
      <c r="R74" s="4"/>
      <c r="S74" s="8"/>
      <c r="T74" s="4"/>
      <c r="U74" s="8"/>
      <c r="V74" s="8"/>
      <c r="W74" s="20" t="str" cm="1">
        <f t="array" ref="W74">IF(N(F74)=0,"",MAX(INDEX({1.5;2.5;4;6;10;16;25;35;50;70;95;120;150;185;240},MATCH(TRUE,{16;24;32;41;57;76;100;125;150;190;230;265;300;345;410}&gt;=F74,0)),INDEX({1.5;2.5;4;6;10;16;25;35;50;70;95;120;150;185;240},MATCH(TRUE,{1.5;2.5;4;6;10;16;25;35;50;70;95;120;150;185;240}&gt;=0.00128*F74*V74,0))))</f>
        <v/>
      </c>
      <c r="X74" s="8"/>
      <c r="Y74" s="8"/>
      <c r="Z74" s="8"/>
      <c r="AA74" s="8"/>
      <c r="AB74" s="8"/>
      <c r="AC74" s="8"/>
      <c r="AD74" s="4"/>
    </row>
    <row r="75" ht="28" customHeight="1" spans="1:30">
      <c r="A75" s="8">
        <v>72</v>
      </c>
      <c r="B75" s="21"/>
      <c r="C75" s="4" t="s">
        <v>298</v>
      </c>
      <c r="D75" s="8" t="s">
        <v>298</v>
      </c>
      <c r="E75" s="8"/>
      <c r="F75" s="8"/>
      <c r="G75" s="8"/>
      <c r="H75" s="8"/>
      <c r="I75" s="8" t="s">
        <v>114</v>
      </c>
      <c r="J75" s="8" t="s">
        <v>133</v>
      </c>
      <c r="K75" s="4" t="s">
        <v>299</v>
      </c>
      <c r="L75" s="4"/>
      <c r="M75" s="4"/>
      <c r="N75" s="4"/>
      <c r="O75" s="8"/>
      <c r="P75" s="4"/>
      <c r="Q75" s="8"/>
      <c r="R75" s="4"/>
      <c r="S75" s="8"/>
      <c r="T75" s="4"/>
      <c r="U75" s="8"/>
      <c r="V75" s="8"/>
      <c r="W75" s="20" t="str" cm="1">
        <f t="array" ref="W75">IF(N(F75)=0,"",MAX(INDEX({1.5;2.5;4;6;10;16;25;35;50;70;95;120;150;185;240},MATCH(TRUE,{16;24;32;41;57;76;100;125;150;190;230;265;300;345;410}&gt;=F75,0)),INDEX({1.5;2.5;4;6;10;16;25;35;50;70;95;120;150;185;240},MATCH(TRUE,{1.5;2.5;4;6;10;16;25;35;50;70;95;120;150;185;240}&gt;=0.00128*F75*V75,0))))</f>
        <v/>
      </c>
      <c r="X75" s="8"/>
      <c r="Y75" s="8"/>
      <c r="Z75" s="8"/>
      <c r="AA75" s="8"/>
      <c r="AB75" s="8"/>
      <c r="AC75" s="8"/>
      <c r="AD75" s="4"/>
    </row>
    <row r="76" ht="28" customHeight="1" spans="1:30">
      <c r="A76" s="8">
        <v>74</v>
      </c>
      <c r="B76" s="21"/>
      <c r="C76" s="4" t="s">
        <v>300</v>
      </c>
      <c r="D76" s="8" t="s">
        <v>300</v>
      </c>
      <c r="E76" s="8"/>
      <c r="F76" s="8"/>
      <c r="G76" s="8"/>
      <c r="H76" s="8"/>
      <c r="I76" s="8" t="s">
        <v>114</v>
      </c>
      <c r="J76" s="8" t="s">
        <v>133</v>
      </c>
      <c r="K76" s="4" t="s">
        <v>301</v>
      </c>
      <c r="L76" s="4"/>
      <c r="M76" s="4"/>
      <c r="N76" s="4"/>
      <c r="O76" s="8"/>
      <c r="P76" s="4"/>
      <c r="Q76" s="8"/>
      <c r="R76" s="4"/>
      <c r="S76" s="8"/>
      <c r="T76" s="4"/>
      <c r="U76" s="8"/>
      <c r="V76" s="8"/>
      <c r="W76" s="20" t="str" cm="1">
        <f t="array" ref="W76">IF(N(F76)=0,"",MAX(INDEX({1.5;2.5;4;6;10;16;25;35;50;70;95;120;150;185;240},MATCH(TRUE,{16;24;32;41;57;76;100;125;150;190;230;265;300;345;410}&gt;=F76,0)),INDEX({1.5;2.5;4;6;10;16;25;35;50;70;95;120;150;185;240},MATCH(TRUE,{1.5;2.5;4;6;10;16;25;35;50;70;95;120;150;185;240}&gt;=0.00128*F76*V76,0))))</f>
        <v/>
      </c>
      <c r="X76" s="8"/>
      <c r="Y76" s="8"/>
      <c r="Z76" s="8"/>
      <c r="AA76" s="8"/>
      <c r="AB76" s="8"/>
      <c r="AC76" s="8"/>
      <c r="AD76" s="4"/>
    </row>
    <row r="77" ht="28" customHeight="1" spans="1:30">
      <c r="A77" s="8">
        <v>77</v>
      </c>
      <c r="B77" s="21"/>
      <c r="C77" s="4" t="s">
        <v>302</v>
      </c>
      <c r="D77" s="8" t="s">
        <v>302</v>
      </c>
      <c r="E77" s="8"/>
      <c r="F77" s="8"/>
      <c r="G77" s="8"/>
      <c r="H77" s="8"/>
      <c r="I77" s="8" t="s">
        <v>42</v>
      </c>
      <c r="J77" s="8" t="s">
        <v>133</v>
      </c>
      <c r="K77" s="4" t="s">
        <v>303</v>
      </c>
      <c r="L77" s="4"/>
      <c r="M77" s="4"/>
      <c r="N77" s="4"/>
      <c r="O77" s="8"/>
      <c r="P77" s="4"/>
      <c r="Q77" s="8"/>
      <c r="R77" s="4"/>
      <c r="S77" s="8"/>
      <c r="T77" s="4"/>
      <c r="U77" s="8"/>
      <c r="V77" s="8"/>
      <c r="W77" s="20" t="str" cm="1">
        <f t="array" ref="W77">IF(N(F77)=0,"",MAX(INDEX({1.5;2.5;4;6;10;16;25;35;50;70;95;120;150;185;240},MATCH(TRUE,{16;24;32;41;57;76;100;125;150;190;230;265;300;345;410}&gt;=F77,0)),INDEX({1.5;2.5;4;6;10;16;25;35;50;70;95;120;150;185;240},MATCH(TRUE,{1.5;2.5;4;6;10;16;25;35;50;70;95;120;150;185;240}&gt;=0.00128*F77*V77,0))))</f>
        <v/>
      </c>
      <c r="X77" s="8"/>
      <c r="Y77" s="8"/>
      <c r="Z77" s="8"/>
      <c r="AA77" s="8"/>
      <c r="AB77" s="8"/>
      <c r="AC77" s="8"/>
      <c r="AD77" s="4"/>
    </row>
    <row r="78" ht="25" customHeight="1" spans="1:30">
      <c r="A78" s="14" t="s">
        <v>304</v>
      </c>
      <c r="B78" s="2"/>
      <c r="C78" s="2"/>
      <c r="D78" s="2"/>
      <c r="E78" s="2"/>
      <c r="F78" s="3"/>
      <c r="G78" s="14">
        <f>SUM(G5:G77)</f>
        <v>69</v>
      </c>
      <c r="H78" s="14">
        <f>SUM(H5:H77)</f>
        <v>346.215</v>
      </c>
      <c r="I78" s="15"/>
      <c r="J78" s="15"/>
      <c r="K78" s="15"/>
      <c r="L78" s="15"/>
      <c r="M78" s="15"/>
      <c r="N78" s="15"/>
      <c r="O78" s="14">
        <f>SUM(O5:O77)</f>
        <v>47</v>
      </c>
      <c r="P78" s="15"/>
      <c r="Q78" s="14">
        <f>SUM(Q5:Q77)</f>
        <v>92</v>
      </c>
      <c r="R78" s="15"/>
      <c r="S78" s="14">
        <f>SUM(S5:S77)</f>
        <v>11</v>
      </c>
      <c r="T78" s="15"/>
      <c r="U78" s="14">
        <f>SUM(U5:U77)</f>
        <v>0</v>
      </c>
      <c r="V78" s="15"/>
      <c r="W78" s="15"/>
      <c r="X78" s="14">
        <f t="shared" ref="X78:AD78" si="0">SUM(X5:X77)</f>
        <v>0</v>
      </c>
      <c r="Y78" s="14">
        <f t="shared" si="0"/>
        <v>0</v>
      </c>
      <c r="Z78" s="14">
        <f t="shared" si="0"/>
        <v>0</v>
      </c>
      <c r="AA78" s="14">
        <f t="shared" si="0"/>
        <v>0</v>
      </c>
      <c r="AB78" s="14">
        <f t="shared" si="0"/>
        <v>0</v>
      </c>
      <c r="AC78" s="14">
        <f t="shared" si="0"/>
        <v>0</v>
      </c>
      <c r="AD78" s="15"/>
    </row>
    <row r="79" ht="14.25" spans="1:30">
      <c r="A79" s="16" t="s">
        <v>305</v>
      </c>
      <c r="B79" s="17"/>
      <c r="C79" s="18"/>
      <c r="V79" s="29"/>
      <c r="W79" s="30"/>
    </row>
    <row r="80" ht="14.25" spans="1:30">
      <c r="V80" s="29"/>
      <c r="W80" s="30"/>
    </row>
    <row r="81" ht="14.25" spans="22:23">
      <c r="V81" s="29"/>
      <c r="W81" s="30"/>
    </row>
    <row r="82" ht="14.25" spans="22:23">
      <c r="V82" s="29"/>
      <c r="W82" s="30"/>
    </row>
    <row r="83" ht="14.25" spans="22:23">
      <c r="V83" s="29"/>
      <c r="W83" s="30"/>
    </row>
    <row r="84" ht="14.25" spans="22:23">
      <c r="V84" s="29"/>
      <c r="W84" s="30"/>
    </row>
    <row r="85" ht="14.25" spans="22:23">
      <c r="V85" s="31"/>
      <c r="W85" s="32"/>
    </row>
  </sheetData>
  <mergeCells count="67">
    <mergeCell ref="A1:AD1"/>
    <mergeCell ref="A2:AD2"/>
    <mergeCell ref="E3:I3"/>
    <mergeCell ref="K3:M3"/>
    <mergeCell ref="N3:U3"/>
    <mergeCell ref="X3:AC3"/>
    <mergeCell ref="A78:F78"/>
    <mergeCell ref="A3:A4"/>
    <mergeCell ref="B3:B4"/>
    <mergeCell ref="B6:B12"/>
    <mergeCell ref="B13:B16"/>
    <mergeCell ref="B17:B22"/>
    <mergeCell ref="B23:B24"/>
    <mergeCell ref="B26:B28"/>
    <mergeCell ref="B31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67"/>
    <mergeCell ref="B71:B77"/>
    <mergeCell ref="C3:C4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1"/>
    <mergeCell ref="C62:C64"/>
    <mergeCell ref="C65:C67"/>
    <mergeCell ref="D3:D4"/>
    <mergeCell ref="J3:J4"/>
    <mergeCell ref="J51:J52"/>
    <mergeCell ref="J53:J54"/>
    <mergeCell ref="J55:J56"/>
    <mergeCell ref="J57:J58"/>
    <mergeCell ref="J59:J61"/>
    <mergeCell ref="J62:J64"/>
    <mergeCell ref="J65:J67"/>
    <mergeCell ref="K51:K67"/>
    <mergeCell ref="V3:V4"/>
    <mergeCell ref="V51:V52"/>
    <mergeCell ref="V53:V54"/>
    <mergeCell ref="V55:V56"/>
    <mergeCell ref="V57:V58"/>
    <mergeCell ref="V59:V61"/>
    <mergeCell ref="V62:V64"/>
    <mergeCell ref="V65:V67"/>
    <mergeCell ref="W3:W4"/>
    <mergeCell ref="W51:W52"/>
    <mergeCell ref="W53:W54"/>
    <mergeCell ref="W55:W56"/>
    <mergeCell ref="W57:W58"/>
    <mergeCell ref="W59:W61"/>
    <mergeCell ref="W62:W64"/>
    <mergeCell ref="W65:W67"/>
    <mergeCell ref="AD3:AD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D89" sqref="D89"/>
    </sheetView>
  </sheetViews>
  <sheetFormatPr defaultColWidth="9" defaultRowHeight="13.5"/>
  <cols>
    <col min="1" max="1" width="5" customWidth="1"/>
    <col min="2" max="2" width="13" customWidth="1"/>
    <col min="3" max="3" width="20.75" customWidth="1"/>
    <col min="4" max="4" width="14.25" customWidth="1"/>
    <col min="5" max="5" width="5" customWidth="1"/>
    <col min="6" max="6" width="6" customWidth="1"/>
    <col min="7" max="7" width="7" customWidth="1"/>
    <col min="8" max="8" width="5.75" customWidth="1"/>
    <col min="9" max="9" width="5" customWidth="1"/>
    <col min="10" max="10" width="10" customWidth="1"/>
    <col min="11" max="11" width="5" customWidth="1"/>
    <col min="12" max="12" width="6.125" customWidth="1"/>
    <col min="13" max="13" width="5" customWidth="1"/>
    <col min="14" max="14" width="10" customWidth="1"/>
    <col min="15" max="15" width="5" customWidth="1"/>
    <col min="16" max="16" width="8.875" customWidth="1"/>
    <col min="17" max="23" width="9" customWidth="1"/>
    <col min="24" max="24" width="12" customWidth="1"/>
    <col min="25" max="25" width="6" customWidth="1"/>
    <col min="26" max="26" width="20" customWidth="1"/>
  </cols>
  <sheetData>
    <row r="1" ht="30" customHeight="1" spans="1:26">
      <c r="A1" s="1" t="s">
        <v>306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2" customHeight="1" spans="1:26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25" customHeight="1" spans="1:26">
      <c r="A3" s="5" t="s">
        <v>2</v>
      </c>
      <c r="B3" s="5" t="s">
        <v>3</v>
      </c>
      <c r="C3" s="5" t="s">
        <v>4</v>
      </c>
      <c r="D3" s="5" t="s">
        <v>307</v>
      </c>
      <c r="E3" s="5" t="s">
        <v>16</v>
      </c>
      <c r="F3" s="5" t="s">
        <v>21</v>
      </c>
      <c r="G3" s="5" t="s">
        <v>308</v>
      </c>
      <c r="H3" s="5" t="s">
        <v>9</v>
      </c>
      <c r="I3" s="2"/>
      <c r="J3" s="2"/>
      <c r="K3" s="2"/>
      <c r="L3" s="2"/>
      <c r="M3" s="2"/>
      <c r="N3" s="2"/>
      <c r="O3" s="3"/>
      <c r="P3" s="5" t="s">
        <v>10</v>
      </c>
      <c r="Q3" s="5" t="s">
        <v>309</v>
      </c>
      <c r="R3" s="2"/>
      <c r="S3" s="2"/>
      <c r="T3" s="2"/>
      <c r="U3" s="2"/>
      <c r="V3" s="2"/>
      <c r="W3" s="3"/>
      <c r="X3" s="5" t="s">
        <v>310</v>
      </c>
      <c r="Y3" s="5" t="s">
        <v>302</v>
      </c>
      <c r="Z3" s="5" t="s">
        <v>13</v>
      </c>
    </row>
    <row r="4" ht="30" customHeight="1" spans="1:26">
      <c r="A4" s="6"/>
      <c r="B4" s="6"/>
      <c r="C4" s="6"/>
      <c r="D4" s="6"/>
      <c r="E4" s="6"/>
      <c r="F4" s="6"/>
      <c r="G4" s="6"/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6"/>
      <c r="Q4" s="7" t="s">
        <v>311</v>
      </c>
      <c r="R4" s="7" t="s">
        <v>312</v>
      </c>
      <c r="S4" s="7" t="s">
        <v>313</v>
      </c>
      <c r="T4" s="7" t="s">
        <v>314</v>
      </c>
      <c r="U4" s="7" t="s">
        <v>315</v>
      </c>
      <c r="V4" s="7" t="s">
        <v>316</v>
      </c>
      <c r="W4" s="7" t="s">
        <v>317</v>
      </c>
      <c r="X4" s="6"/>
      <c r="Y4" s="6"/>
      <c r="Z4" s="6"/>
    </row>
    <row r="5" ht="28" customHeight="1" spans="1:26">
      <c r="A5" s="8">
        <v>1</v>
      </c>
      <c r="B5" s="9" t="s">
        <v>39</v>
      </c>
      <c r="C5" s="4" t="s">
        <v>318</v>
      </c>
      <c r="D5" s="4" t="s">
        <v>319</v>
      </c>
      <c r="E5" s="8">
        <v>1</v>
      </c>
      <c r="F5" s="4" t="s">
        <v>320</v>
      </c>
      <c r="G5" s="4"/>
      <c r="H5" s="4" t="s">
        <v>47</v>
      </c>
      <c r="I5" s="8">
        <v>1</v>
      </c>
      <c r="J5" s="4"/>
      <c r="K5" s="8"/>
      <c r="L5" s="4"/>
      <c r="M5" s="8"/>
      <c r="N5" s="4"/>
      <c r="O5" s="8"/>
      <c r="P5" s="8"/>
      <c r="Q5" s="8"/>
      <c r="R5" s="8"/>
      <c r="S5" s="8"/>
      <c r="T5" s="8"/>
      <c r="U5" s="8"/>
      <c r="V5" s="8"/>
      <c r="W5" s="8"/>
      <c r="X5" s="4" t="s">
        <v>321</v>
      </c>
      <c r="Y5" s="8"/>
      <c r="Z5" s="4"/>
    </row>
    <row r="6" ht="28" customHeight="1" spans="1:26">
      <c r="A6" s="8">
        <v>2</v>
      </c>
      <c r="B6" s="10"/>
      <c r="C6" s="4" t="s">
        <v>322</v>
      </c>
      <c r="D6" s="4" t="s">
        <v>319</v>
      </c>
      <c r="E6" s="8">
        <v>1</v>
      </c>
      <c r="F6" s="4" t="s">
        <v>323</v>
      </c>
      <c r="G6" s="4"/>
      <c r="H6" s="4" t="s">
        <v>47</v>
      </c>
      <c r="I6" s="8">
        <v>1</v>
      </c>
      <c r="J6" s="4"/>
      <c r="K6" s="8"/>
      <c r="L6" s="4"/>
      <c r="M6" s="8"/>
      <c r="N6" s="4"/>
      <c r="O6" s="8"/>
      <c r="P6" s="8"/>
      <c r="Q6" s="8"/>
      <c r="R6" s="8"/>
      <c r="S6" s="8"/>
      <c r="T6" s="8"/>
      <c r="U6" s="8"/>
      <c r="V6" s="8"/>
      <c r="W6" s="8"/>
      <c r="X6" s="4" t="s">
        <v>321</v>
      </c>
      <c r="Y6" s="8"/>
      <c r="Z6" s="4"/>
    </row>
    <row r="7" ht="28" customHeight="1" spans="1:26">
      <c r="A7" s="8">
        <v>3</v>
      </c>
      <c r="B7" s="10"/>
      <c r="C7" s="4" t="s">
        <v>324</v>
      </c>
      <c r="D7" s="4" t="s">
        <v>319</v>
      </c>
      <c r="E7" s="8">
        <v>1</v>
      </c>
      <c r="F7" s="4" t="s">
        <v>325</v>
      </c>
      <c r="G7" s="4"/>
      <c r="H7" s="4" t="s">
        <v>47</v>
      </c>
      <c r="I7" s="8">
        <v>1</v>
      </c>
      <c r="J7" s="4"/>
      <c r="K7" s="8"/>
      <c r="L7" s="4"/>
      <c r="M7" s="8"/>
      <c r="N7" s="4"/>
      <c r="O7" s="8"/>
      <c r="P7" s="8"/>
      <c r="Q7" s="8"/>
      <c r="R7" s="8"/>
      <c r="S7" s="8"/>
      <c r="T7" s="8"/>
      <c r="U7" s="8"/>
      <c r="V7" s="8"/>
      <c r="W7" s="8"/>
      <c r="X7" s="4" t="s">
        <v>321</v>
      </c>
      <c r="Y7" s="8"/>
      <c r="Z7" s="4"/>
    </row>
    <row r="8" ht="28" customHeight="1" spans="1:26">
      <c r="A8" s="8">
        <v>4</v>
      </c>
      <c r="B8" s="10"/>
      <c r="C8" s="4" t="s">
        <v>326</v>
      </c>
      <c r="D8" s="4" t="s">
        <v>327</v>
      </c>
      <c r="E8" s="8">
        <v>3</v>
      </c>
      <c r="F8" s="4"/>
      <c r="G8" s="4" t="s">
        <v>328</v>
      </c>
      <c r="H8" s="4"/>
      <c r="I8" s="8"/>
      <c r="J8" s="4"/>
      <c r="K8" s="8"/>
      <c r="L8" s="4" t="s">
        <v>329</v>
      </c>
      <c r="M8" s="8">
        <v>1</v>
      </c>
      <c r="N8" s="4"/>
      <c r="O8" s="8"/>
      <c r="P8" s="8"/>
      <c r="Q8" s="8"/>
      <c r="R8" s="8"/>
      <c r="S8" s="8"/>
      <c r="T8" s="8"/>
      <c r="U8" s="8"/>
      <c r="V8" s="8"/>
      <c r="W8" s="8"/>
      <c r="X8" s="4" t="s">
        <v>330</v>
      </c>
      <c r="Y8" s="8"/>
      <c r="Z8" s="4" t="s">
        <v>331</v>
      </c>
    </row>
    <row r="9" ht="28" customHeight="1" spans="1:26">
      <c r="A9" s="8">
        <v>5</v>
      </c>
      <c r="B9" s="10"/>
      <c r="C9" s="4" t="s">
        <v>332</v>
      </c>
      <c r="D9" s="4" t="s">
        <v>319</v>
      </c>
      <c r="E9" s="8">
        <v>1</v>
      </c>
      <c r="F9" s="4" t="s">
        <v>333</v>
      </c>
      <c r="G9" s="4"/>
      <c r="H9" s="4" t="s">
        <v>47</v>
      </c>
      <c r="I9" s="8">
        <v>1</v>
      </c>
      <c r="J9" s="4"/>
      <c r="K9" s="8"/>
      <c r="L9" s="4"/>
      <c r="M9" s="8"/>
      <c r="N9" s="4"/>
      <c r="O9" s="8"/>
      <c r="P9" s="8"/>
      <c r="Q9" s="8"/>
      <c r="R9" s="8"/>
      <c r="S9" s="8"/>
      <c r="T9" s="8"/>
      <c r="U9" s="8"/>
      <c r="V9" s="8"/>
      <c r="W9" s="8"/>
      <c r="X9" s="4" t="s">
        <v>321</v>
      </c>
      <c r="Y9" s="8"/>
      <c r="Z9" s="4"/>
    </row>
    <row r="10" ht="28" customHeight="1" spans="1:26">
      <c r="A10" s="8">
        <v>6</v>
      </c>
      <c r="B10" s="10"/>
      <c r="C10" s="4" t="s">
        <v>334</v>
      </c>
      <c r="D10" s="4" t="s">
        <v>319</v>
      </c>
      <c r="E10" s="8">
        <v>1</v>
      </c>
      <c r="F10" s="4" t="s">
        <v>335</v>
      </c>
      <c r="G10" s="4"/>
      <c r="H10" s="4" t="s">
        <v>47</v>
      </c>
      <c r="I10" s="8">
        <v>1</v>
      </c>
      <c r="J10" s="4"/>
      <c r="K10" s="8"/>
      <c r="L10" s="4"/>
      <c r="M10" s="8"/>
      <c r="N10" s="4"/>
      <c r="O10" s="8"/>
      <c r="P10" s="8"/>
      <c r="Q10" s="8"/>
      <c r="R10" s="8"/>
      <c r="S10" s="8"/>
      <c r="T10" s="8"/>
      <c r="U10" s="8"/>
      <c r="V10" s="8"/>
      <c r="W10" s="8"/>
      <c r="X10" s="4" t="s">
        <v>321</v>
      </c>
      <c r="Y10" s="8"/>
      <c r="Z10" s="4"/>
    </row>
    <row r="11" ht="28" customHeight="1" spans="1:26">
      <c r="A11" s="8">
        <v>7</v>
      </c>
      <c r="B11" s="10"/>
      <c r="C11" s="4" t="s">
        <v>336</v>
      </c>
      <c r="D11" s="4" t="s">
        <v>319</v>
      </c>
      <c r="E11" s="8">
        <v>1</v>
      </c>
      <c r="F11" s="4" t="s">
        <v>337</v>
      </c>
      <c r="G11" s="4"/>
      <c r="H11" s="4" t="s">
        <v>47</v>
      </c>
      <c r="I11" s="8">
        <v>1</v>
      </c>
      <c r="J11" s="4"/>
      <c r="K11" s="8"/>
      <c r="L11" s="4"/>
      <c r="M11" s="8"/>
      <c r="N11" s="4"/>
      <c r="O11" s="8"/>
      <c r="P11" s="8"/>
      <c r="Q11" s="8"/>
      <c r="R11" s="8"/>
      <c r="S11" s="8"/>
      <c r="T11" s="8"/>
      <c r="U11" s="8"/>
      <c r="V11" s="8"/>
      <c r="W11" s="8"/>
      <c r="X11" s="4" t="s">
        <v>321</v>
      </c>
      <c r="Y11" s="8"/>
      <c r="Z11" s="4"/>
    </row>
    <row r="12" ht="28" customHeight="1" spans="1:26">
      <c r="A12" s="8">
        <v>8</v>
      </c>
      <c r="B12" s="10"/>
      <c r="C12" s="4" t="s">
        <v>338</v>
      </c>
      <c r="D12" s="4" t="s">
        <v>327</v>
      </c>
      <c r="E12" s="8">
        <v>3</v>
      </c>
      <c r="F12" s="4"/>
      <c r="G12" s="4" t="s">
        <v>328</v>
      </c>
      <c r="H12" s="4"/>
      <c r="I12" s="8"/>
      <c r="J12" s="4"/>
      <c r="K12" s="8"/>
      <c r="L12" s="4" t="s">
        <v>329</v>
      </c>
      <c r="M12" s="8">
        <v>1</v>
      </c>
      <c r="N12" s="4"/>
      <c r="O12" s="8"/>
      <c r="P12" s="8"/>
      <c r="Q12" s="8"/>
      <c r="R12" s="8"/>
      <c r="S12" s="8"/>
      <c r="T12" s="8"/>
      <c r="U12" s="8"/>
      <c r="V12" s="8"/>
      <c r="W12" s="8"/>
      <c r="X12" s="4" t="s">
        <v>330</v>
      </c>
      <c r="Y12" s="8"/>
      <c r="Z12" s="4" t="s">
        <v>331</v>
      </c>
    </row>
    <row r="13" ht="28" customHeight="1" spans="1:26">
      <c r="A13" s="8">
        <v>9</v>
      </c>
      <c r="B13" s="10"/>
      <c r="C13" s="4" t="s">
        <v>339</v>
      </c>
      <c r="D13" s="4" t="s">
        <v>319</v>
      </c>
      <c r="E13" s="8">
        <v>1</v>
      </c>
      <c r="F13" s="4" t="s">
        <v>340</v>
      </c>
      <c r="G13" s="4"/>
      <c r="H13" s="4" t="s">
        <v>47</v>
      </c>
      <c r="I13" s="8">
        <v>1</v>
      </c>
      <c r="J13" s="4"/>
      <c r="K13" s="8"/>
      <c r="L13" s="4"/>
      <c r="M13" s="8"/>
      <c r="N13" s="4"/>
      <c r="O13" s="8"/>
      <c r="P13" s="8"/>
      <c r="Q13" s="8"/>
      <c r="R13" s="8"/>
      <c r="S13" s="8"/>
      <c r="T13" s="8"/>
      <c r="U13" s="8"/>
      <c r="V13" s="8"/>
      <c r="W13" s="8"/>
      <c r="X13" s="4" t="s">
        <v>341</v>
      </c>
      <c r="Y13" s="8"/>
      <c r="Z13" s="4"/>
    </row>
    <row r="14" ht="28" customHeight="1" spans="1:26">
      <c r="A14" s="8">
        <v>10</v>
      </c>
      <c r="B14" s="10"/>
      <c r="C14" s="4" t="s">
        <v>342</v>
      </c>
      <c r="D14" s="4" t="s">
        <v>319</v>
      </c>
      <c r="E14" s="8">
        <v>1</v>
      </c>
      <c r="F14" s="4" t="s">
        <v>343</v>
      </c>
      <c r="G14" s="4"/>
      <c r="H14" s="4" t="s">
        <v>47</v>
      </c>
      <c r="I14" s="8">
        <v>1</v>
      </c>
      <c r="J14" s="4"/>
      <c r="K14" s="8"/>
      <c r="L14" s="4"/>
      <c r="M14" s="8"/>
      <c r="N14" s="4"/>
      <c r="O14" s="8"/>
      <c r="P14" s="8"/>
      <c r="Q14" s="8"/>
      <c r="R14" s="8"/>
      <c r="S14" s="8"/>
      <c r="T14" s="8"/>
      <c r="U14" s="8"/>
      <c r="V14" s="8"/>
      <c r="W14" s="8"/>
      <c r="X14" s="4" t="s">
        <v>341</v>
      </c>
      <c r="Y14" s="8"/>
      <c r="Z14" s="4"/>
    </row>
    <row r="15" ht="28" customHeight="1" spans="1:26">
      <c r="A15" s="8">
        <v>11</v>
      </c>
      <c r="B15" s="10"/>
      <c r="C15" s="4" t="s">
        <v>344</v>
      </c>
      <c r="D15" s="4" t="s">
        <v>319</v>
      </c>
      <c r="E15" s="8">
        <v>1</v>
      </c>
      <c r="F15" s="4" t="s">
        <v>345</v>
      </c>
      <c r="G15" s="4"/>
      <c r="H15" s="4" t="s">
        <v>47</v>
      </c>
      <c r="I15" s="8">
        <v>1</v>
      </c>
      <c r="J15" s="4"/>
      <c r="K15" s="8"/>
      <c r="L15" s="4"/>
      <c r="M15" s="8"/>
      <c r="N15" s="4"/>
      <c r="O15" s="8"/>
      <c r="P15" s="8"/>
      <c r="Q15" s="8"/>
      <c r="R15" s="8"/>
      <c r="S15" s="8"/>
      <c r="T15" s="8"/>
      <c r="U15" s="8"/>
      <c r="V15" s="8"/>
      <c r="W15" s="8"/>
      <c r="X15" s="4" t="s">
        <v>341</v>
      </c>
      <c r="Y15" s="8"/>
      <c r="Z15" s="4"/>
    </row>
    <row r="16" ht="28" customHeight="1" spans="1:26">
      <c r="A16" s="8">
        <v>12</v>
      </c>
      <c r="B16" s="10"/>
      <c r="C16" s="4" t="s">
        <v>346</v>
      </c>
      <c r="D16" s="4" t="s">
        <v>327</v>
      </c>
      <c r="E16" s="8">
        <v>3</v>
      </c>
      <c r="F16" s="4"/>
      <c r="G16" s="4" t="s">
        <v>328</v>
      </c>
      <c r="H16" s="4"/>
      <c r="I16" s="8"/>
      <c r="J16" s="4"/>
      <c r="K16" s="8"/>
      <c r="L16" s="4" t="s">
        <v>329</v>
      </c>
      <c r="M16" s="8">
        <v>1</v>
      </c>
      <c r="N16" s="4"/>
      <c r="O16" s="8"/>
      <c r="P16" s="8"/>
      <c r="Q16" s="8"/>
      <c r="R16" s="8"/>
      <c r="S16" s="8"/>
      <c r="T16" s="8"/>
      <c r="U16" s="8"/>
      <c r="V16" s="8"/>
      <c r="W16" s="8"/>
      <c r="X16" s="4" t="s">
        <v>330</v>
      </c>
      <c r="Y16" s="8"/>
      <c r="Z16" s="4" t="s">
        <v>331</v>
      </c>
    </row>
    <row r="17" ht="28" customHeight="1" spans="1:26">
      <c r="A17" s="8">
        <v>13</v>
      </c>
      <c r="B17" s="10"/>
      <c r="C17" s="4" t="s">
        <v>347</v>
      </c>
      <c r="D17" s="4" t="s">
        <v>319</v>
      </c>
      <c r="E17" s="8">
        <v>1</v>
      </c>
      <c r="F17" s="4" t="s">
        <v>348</v>
      </c>
      <c r="G17" s="4"/>
      <c r="H17" s="4" t="s">
        <v>47</v>
      </c>
      <c r="I17" s="8">
        <v>1</v>
      </c>
      <c r="J17" s="4"/>
      <c r="K17" s="8"/>
      <c r="L17" s="4"/>
      <c r="M17" s="8"/>
      <c r="N17" s="4"/>
      <c r="O17" s="8"/>
      <c r="P17" s="8"/>
      <c r="Q17" s="8"/>
      <c r="R17" s="8"/>
      <c r="S17" s="8"/>
      <c r="T17" s="8"/>
      <c r="U17" s="8"/>
      <c r="V17" s="8"/>
      <c r="W17" s="8"/>
      <c r="X17" s="4" t="s">
        <v>341</v>
      </c>
      <c r="Y17" s="8"/>
      <c r="Z17" s="4"/>
    </row>
    <row r="18" ht="28" customHeight="1" spans="1:26">
      <c r="A18" s="8">
        <v>14</v>
      </c>
      <c r="B18" s="10"/>
      <c r="C18" s="4" t="s">
        <v>349</v>
      </c>
      <c r="D18" s="4" t="s">
        <v>319</v>
      </c>
      <c r="E18" s="8">
        <v>1</v>
      </c>
      <c r="F18" s="4" t="s">
        <v>350</v>
      </c>
      <c r="G18" s="4"/>
      <c r="H18" s="4" t="s">
        <v>47</v>
      </c>
      <c r="I18" s="8">
        <v>1</v>
      </c>
      <c r="J18" s="4"/>
      <c r="K18" s="8"/>
      <c r="L18" s="4"/>
      <c r="M18" s="8"/>
      <c r="N18" s="4"/>
      <c r="O18" s="8"/>
      <c r="P18" s="8"/>
      <c r="Q18" s="8"/>
      <c r="R18" s="8"/>
      <c r="S18" s="8"/>
      <c r="T18" s="8"/>
      <c r="U18" s="8"/>
      <c r="V18" s="8"/>
      <c r="W18" s="8"/>
      <c r="X18" s="4" t="s">
        <v>341</v>
      </c>
      <c r="Y18" s="8"/>
      <c r="Z18" s="4"/>
    </row>
    <row r="19" ht="28" customHeight="1" spans="1:26">
      <c r="A19" s="8">
        <v>15</v>
      </c>
      <c r="B19" s="10"/>
      <c r="C19" s="4" t="s">
        <v>351</v>
      </c>
      <c r="D19" s="4" t="s">
        <v>319</v>
      </c>
      <c r="E19" s="8">
        <v>1</v>
      </c>
      <c r="F19" s="4" t="s">
        <v>352</v>
      </c>
      <c r="G19" s="4"/>
      <c r="H19" s="4" t="s">
        <v>47</v>
      </c>
      <c r="I19" s="8">
        <v>1</v>
      </c>
      <c r="J19" s="4"/>
      <c r="K19" s="8"/>
      <c r="L19" s="4"/>
      <c r="M19" s="8"/>
      <c r="N19" s="4"/>
      <c r="O19" s="8"/>
      <c r="P19" s="8"/>
      <c r="Q19" s="8"/>
      <c r="R19" s="8"/>
      <c r="S19" s="8"/>
      <c r="T19" s="8"/>
      <c r="U19" s="8"/>
      <c r="V19" s="8"/>
      <c r="W19" s="8"/>
      <c r="X19" s="4" t="s">
        <v>341</v>
      </c>
      <c r="Y19" s="8"/>
      <c r="Z19" s="4"/>
    </row>
    <row r="20" ht="28" customHeight="1" spans="1:26">
      <c r="A20" s="8">
        <v>16</v>
      </c>
      <c r="B20" s="10"/>
      <c r="C20" s="4" t="s">
        <v>353</v>
      </c>
      <c r="D20" s="4" t="s">
        <v>327</v>
      </c>
      <c r="E20" s="8">
        <v>3</v>
      </c>
      <c r="F20" s="4"/>
      <c r="G20" s="4" t="s">
        <v>328</v>
      </c>
      <c r="H20" s="4"/>
      <c r="I20" s="8"/>
      <c r="J20" s="4"/>
      <c r="K20" s="8"/>
      <c r="L20" s="4" t="s">
        <v>329</v>
      </c>
      <c r="M20" s="8">
        <v>1</v>
      </c>
      <c r="N20" s="4"/>
      <c r="O20" s="8"/>
      <c r="P20" s="8"/>
      <c r="Q20" s="8"/>
      <c r="R20" s="8"/>
      <c r="S20" s="8"/>
      <c r="T20" s="8"/>
      <c r="U20" s="8"/>
      <c r="V20" s="8"/>
      <c r="W20" s="8"/>
      <c r="X20" s="4" t="s">
        <v>330</v>
      </c>
      <c r="Y20" s="8"/>
      <c r="Z20" s="4" t="s">
        <v>331</v>
      </c>
    </row>
    <row r="21" ht="28" customHeight="1" spans="1:26">
      <c r="A21" s="8">
        <v>17</v>
      </c>
      <c r="B21" s="10"/>
      <c r="C21" s="4" t="s">
        <v>354</v>
      </c>
      <c r="D21" s="4" t="s">
        <v>355</v>
      </c>
      <c r="E21" s="8">
        <v>1</v>
      </c>
      <c r="F21" s="4"/>
      <c r="G21" s="4" t="s">
        <v>356</v>
      </c>
      <c r="H21" s="4"/>
      <c r="I21" s="8"/>
      <c r="J21" s="4"/>
      <c r="K21" s="8"/>
      <c r="L21" s="4" t="s">
        <v>357</v>
      </c>
      <c r="M21" s="8">
        <v>1</v>
      </c>
      <c r="N21" s="4"/>
      <c r="O21" s="8"/>
      <c r="P21" s="8"/>
      <c r="Q21" s="8"/>
      <c r="R21" s="8"/>
      <c r="S21" s="8"/>
      <c r="T21" s="8"/>
      <c r="U21" s="8"/>
      <c r="V21" s="8"/>
      <c r="W21" s="8"/>
      <c r="X21" s="4" t="s">
        <v>330</v>
      </c>
      <c r="Y21" s="8"/>
      <c r="Z21" s="4"/>
    </row>
    <row r="22" ht="28" customHeight="1" spans="1:26">
      <c r="A22" s="8">
        <v>18</v>
      </c>
      <c r="B22" s="11"/>
      <c r="C22" s="4" t="s">
        <v>358</v>
      </c>
      <c r="D22" s="4" t="s">
        <v>359</v>
      </c>
      <c r="E22" s="8">
        <v>1</v>
      </c>
      <c r="F22" s="4"/>
      <c r="G22" s="4"/>
      <c r="H22" s="4"/>
      <c r="I22" s="8"/>
      <c r="J22" s="4" t="s">
        <v>360</v>
      </c>
      <c r="K22" s="8">
        <v>1</v>
      </c>
      <c r="L22" s="4"/>
      <c r="M22" s="8"/>
      <c r="N22" s="4"/>
      <c r="O22" s="8"/>
      <c r="P22" s="8"/>
      <c r="Q22" s="8"/>
      <c r="R22" s="8"/>
      <c r="S22" s="8"/>
      <c r="T22" s="8"/>
      <c r="U22" s="8"/>
      <c r="V22" s="8"/>
      <c r="W22" s="8"/>
      <c r="X22" s="4" t="s">
        <v>330</v>
      </c>
      <c r="Y22" s="8"/>
      <c r="Z22" s="4" t="s">
        <v>361</v>
      </c>
    </row>
    <row r="23" ht="28" customHeight="1" spans="1:26">
      <c r="A23" s="8">
        <v>19</v>
      </c>
      <c r="B23" s="9" t="s">
        <v>77</v>
      </c>
      <c r="C23" s="4" t="s">
        <v>362</v>
      </c>
      <c r="D23" s="4" t="s">
        <v>355</v>
      </c>
      <c r="E23" s="8">
        <v>1</v>
      </c>
      <c r="F23" s="4"/>
      <c r="G23" s="4" t="s">
        <v>363</v>
      </c>
      <c r="H23" s="4"/>
      <c r="I23" s="8"/>
      <c r="J23" s="4"/>
      <c r="K23" s="8"/>
      <c r="L23" s="4" t="s">
        <v>357</v>
      </c>
      <c r="M23" s="8">
        <v>1</v>
      </c>
      <c r="N23" s="4"/>
      <c r="O23" s="8"/>
      <c r="P23" s="8"/>
      <c r="Q23" s="8"/>
      <c r="R23" s="8"/>
      <c r="S23" s="8"/>
      <c r="T23" s="8"/>
      <c r="U23" s="8"/>
      <c r="V23" s="8"/>
      <c r="W23" s="8"/>
      <c r="X23" s="4" t="s">
        <v>330</v>
      </c>
      <c r="Y23" s="8"/>
      <c r="Z23" s="4"/>
    </row>
    <row r="24" ht="28" customHeight="1" spans="1:26">
      <c r="A24" s="8">
        <v>20</v>
      </c>
      <c r="B24" s="11"/>
      <c r="C24" s="4" t="s">
        <v>358</v>
      </c>
      <c r="D24" s="4" t="s">
        <v>359</v>
      </c>
      <c r="E24" s="8">
        <v>1</v>
      </c>
      <c r="F24" s="4"/>
      <c r="G24" s="4"/>
      <c r="H24" s="4"/>
      <c r="I24" s="8"/>
      <c r="J24" s="4" t="s">
        <v>360</v>
      </c>
      <c r="K24" s="8">
        <v>1</v>
      </c>
      <c r="L24" s="4"/>
      <c r="M24" s="8"/>
      <c r="N24" s="4"/>
      <c r="O24" s="8"/>
      <c r="P24" s="8"/>
      <c r="Q24" s="8"/>
      <c r="R24" s="8"/>
      <c r="S24" s="8"/>
      <c r="T24" s="8"/>
      <c r="U24" s="8"/>
      <c r="V24" s="8"/>
      <c r="W24" s="8"/>
      <c r="X24" s="4" t="s">
        <v>330</v>
      </c>
      <c r="Y24" s="8"/>
      <c r="Z24" s="4" t="s">
        <v>361</v>
      </c>
    </row>
    <row r="25" ht="28" customHeight="1" spans="1:26">
      <c r="A25" s="8">
        <v>21</v>
      </c>
      <c r="B25" s="9" t="s">
        <v>93</v>
      </c>
      <c r="C25" s="4" t="s">
        <v>364</v>
      </c>
      <c r="D25" s="4" t="s">
        <v>355</v>
      </c>
      <c r="E25" s="8">
        <v>1</v>
      </c>
      <c r="F25" s="4"/>
      <c r="G25" s="4" t="s">
        <v>365</v>
      </c>
      <c r="H25" s="4"/>
      <c r="I25" s="8"/>
      <c r="J25" s="4"/>
      <c r="K25" s="8"/>
      <c r="L25" s="4" t="s">
        <v>357</v>
      </c>
      <c r="M25" s="8">
        <v>1</v>
      </c>
      <c r="N25" s="4"/>
      <c r="O25" s="8"/>
      <c r="P25" s="8"/>
      <c r="Q25" s="8"/>
      <c r="R25" s="8"/>
      <c r="S25" s="8"/>
      <c r="T25" s="8"/>
      <c r="U25" s="8"/>
      <c r="V25" s="8"/>
      <c r="W25" s="8"/>
      <c r="X25" s="4" t="s">
        <v>330</v>
      </c>
      <c r="Y25" s="8"/>
      <c r="Z25" s="4"/>
    </row>
    <row r="26" ht="28" customHeight="1" spans="1:26">
      <c r="A26" s="8">
        <v>22</v>
      </c>
      <c r="B26" s="11"/>
      <c r="C26" s="4" t="s">
        <v>358</v>
      </c>
      <c r="D26" s="4" t="s">
        <v>359</v>
      </c>
      <c r="E26" s="8">
        <v>1</v>
      </c>
      <c r="F26" s="4"/>
      <c r="G26" s="4"/>
      <c r="H26" s="4"/>
      <c r="I26" s="8"/>
      <c r="J26" s="4" t="s">
        <v>360</v>
      </c>
      <c r="K26" s="8">
        <v>1</v>
      </c>
      <c r="L26" s="4"/>
      <c r="M26" s="8"/>
      <c r="N26" s="4"/>
      <c r="O26" s="8"/>
      <c r="P26" s="8"/>
      <c r="Q26" s="8"/>
      <c r="R26" s="8"/>
      <c r="S26" s="8"/>
      <c r="T26" s="8"/>
      <c r="U26" s="8"/>
      <c r="V26" s="8"/>
      <c r="W26" s="8"/>
      <c r="X26" s="4" t="s">
        <v>330</v>
      </c>
      <c r="Y26" s="8"/>
      <c r="Z26" s="4" t="s">
        <v>361</v>
      </c>
    </row>
    <row r="27" ht="28" customHeight="1" spans="1:26">
      <c r="A27" s="8">
        <v>23</v>
      </c>
      <c r="B27" s="9" t="s">
        <v>97</v>
      </c>
      <c r="C27" s="4" t="s">
        <v>366</v>
      </c>
      <c r="D27" s="4" t="s">
        <v>355</v>
      </c>
      <c r="E27" s="8">
        <v>1</v>
      </c>
      <c r="F27" s="4"/>
      <c r="G27" s="4" t="s">
        <v>367</v>
      </c>
      <c r="H27" s="4"/>
      <c r="I27" s="8"/>
      <c r="J27" s="4"/>
      <c r="K27" s="8"/>
      <c r="L27" s="4" t="s">
        <v>357</v>
      </c>
      <c r="M27" s="8">
        <v>1</v>
      </c>
      <c r="N27" s="4"/>
      <c r="O27" s="8"/>
      <c r="P27" s="8"/>
      <c r="Q27" s="8"/>
      <c r="R27" s="8"/>
      <c r="S27" s="8"/>
      <c r="T27" s="8"/>
      <c r="U27" s="8"/>
      <c r="V27" s="8"/>
      <c r="W27" s="8"/>
      <c r="X27" s="4" t="s">
        <v>330</v>
      </c>
      <c r="Y27" s="8"/>
      <c r="Z27" s="4" t="s">
        <v>368</v>
      </c>
    </row>
    <row r="28" ht="28" customHeight="1" spans="1:26">
      <c r="A28" s="8">
        <v>24</v>
      </c>
      <c r="B28" s="10"/>
      <c r="C28" s="4" t="s">
        <v>369</v>
      </c>
      <c r="D28" s="4" t="s">
        <v>370</v>
      </c>
      <c r="E28" s="8">
        <v>1</v>
      </c>
      <c r="F28" s="4"/>
      <c r="G28" s="4"/>
      <c r="H28" s="4"/>
      <c r="I28" s="8"/>
      <c r="J28" s="4" t="s">
        <v>360</v>
      </c>
      <c r="K28" s="8">
        <v>1</v>
      </c>
      <c r="L28" s="4"/>
      <c r="M28" s="8"/>
      <c r="N28" s="4"/>
      <c r="O28" s="8"/>
      <c r="P28" s="8"/>
      <c r="Q28" s="8"/>
      <c r="R28" s="8"/>
      <c r="S28" s="8"/>
      <c r="T28" s="8"/>
      <c r="U28" s="8"/>
      <c r="V28" s="8"/>
      <c r="W28" s="8"/>
      <c r="X28" s="4" t="s">
        <v>371</v>
      </c>
      <c r="Y28" s="8"/>
      <c r="Z28" s="4"/>
    </row>
    <row r="29" ht="28" customHeight="1" spans="1:26">
      <c r="A29" s="8">
        <v>25</v>
      </c>
      <c r="B29" s="10"/>
      <c r="C29" s="4" t="s">
        <v>372</v>
      </c>
      <c r="D29" s="4" t="s">
        <v>373</v>
      </c>
      <c r="E29" s="8">
        <v>1</v>
      </c>
      <c r="F29" s="4"/>
      <c r="G29" s="4"/>
      <c r="H29" s="4"/>
      <c r="I29" s="8"/>
      <c r="J29" s="4" t="s">
        <v>374</v>
      </c>
      <c r="K29" s="8">
        <v>1</v>
      </c>
      <c r="L29" s="4"/>
      <c r="M29" s="8"/>
      <c r="N29" s="4"/>
      <c r="O29" s="8"/>
      <c r="P29" s="8"/>
      <c r="Q29" s="8"/>
      <c r="R29" s="8"/>
      <c r="S29" s="8"/>
      <c r="T29" s="8"/>
      <c r="U29" s="8"/>
      <c r="V29" s="8"/>
      <c r="W29" s="8"/>
      <c r="X29" s="4" t="s">
        <v>371</v>
      </c>
      <c r="Y29" s="8"/>
      <c r="Z29" s="4"/>
    </row>
    <row r="30" ht="28" customHeight="1" spans="1:26">
      <c r="A30" s="8">
        <v>26</v>
      </c>
      <c r="B30" s="10"/>
      <c r="C30" s="4" t="s">
        <v>375</v>
      </c>
      <c r="D30" s="4" t="s">
        <v>376</v>
      </c>
      <c r="E30" s="8">
        <v>1</v>
      </c>
      <c r="F30" s="4"/>
      <c r="G30" s="4"/>
      <c r="H30" s="4"/>
      <c r="I30" s="8"/>
      <c r="J30" s="4" t="s">
        <v>377</v>
      </c>
      <c r="K30" s="8">
        <v>1</v>
      </c>
      <c r="L30" s="4"/>
      <c r="M30" s="8"/>
      <c r="N30" s="4"/>
      <c r="O30" s="8"/>
      <c r="P30" s="8"/>
      <c r="Q30" s="8"/>
      <c r="R30" s="8"/>
      <c r="S30" s="8"/>
      <c r="T30" s="8"/>
      <c r="U30" s="8"/>
      <c r="V30" s="8"/>
      <c r="W30" s="8"/>
      <c r="X30" s="4" t="s">
        <v>371</v>
      </c>
      <c r="Y30" s="8"/>
      <c r="Z30" s="4"/>
    </row>
    <row r="31" ht="28" customHeight="1" spans="1:26">
      <c r="A31" s="8">
        <v>27</v>
      </c>
      <c r="B31" s="10"/>
      <c r="C31" s="4" t="s">
        <v>378</v>
      </c>
      <c r="D31" s="4" t="s">
        <v>376</v>
      </c>
      <c r="E31" s="8">
        <v>1</v>
      </c>
      <c r="F31" s="4"/>
      <c r="G31" s="4"/>
      <c r="H31" s="4"/>
      <c r="I31" s="8"/>
      <c r="J31" s="4" t="s">
        <v>379</v>
      </c>
      <c r="K31" s="8">
        <v>1</v>
      </c>
      <c r="L31" s="4"/>
      <c r="M31" s="8"/>
      <c r="N31" s="4"/>
      <c r="O31" s="8"/>
      <c r="P31" s="8"/>
      <c r="Q31" s="8"/>
      <c r="R31" s="8"/>
      <c r="S31" s="8"/>
      <c r="T31" s="8"/>
      <c r="U31" s="8"/>
      <c r="V31" s="8"/>
      <c r="W31" s="8"/>
      <c r="X31" s="4" t="s">
        <v>371</v>
      </c>
      <c r="Y31" s="8"/>
      <c r="Z31" s="4"/>
    </row>
    <row r="32" ht="28" customHeight="1" spans="1:26">
      <c r="A32" s="8">
        <v>28</v>
      </c>
      <c r="B32" s="10"/>
      <c r="C32" s="4" t="s">
        <v>380</v>
      </c>
      <c r="D32" s="4" t="s">
        <v>376</v>
      </c>
      <c r="E32" s="8">
        <v>1</v>
      </c>
      <c r="F32" s="4"/>
      <c r="G32" s="4"/>
      <c r="H32" s="4"/>
      <c r="I32" s="8"/>
      <c r="J32" s="4" t="s">
        <v>381</v>
      </c>
      <c r="K32" s="8">
        <v>1</v>
      </c>
      <c r="L32" s="4"/>
      <c r="M32" s="8"/>
      <c r="N32" s="4"/>
      <c r="O32" s="8"/>
      <c r="P32" s="8"/>
      <c r="Q32" s="8"/>
      <c r="R32" s="8"/>
      <c r="S32" s="8"/>
      <c r="T32" s="8"/>
      <c r="U32" s="8"/>
      <c r="V32" s="8"/>
      <c r="W32" s="8"/>
      <c r="X32" s="4" t="s">
        <v>371</v>
      </c>
      <c r="Y32" s="8"/>
      <c r="Z32" s="4"/>
    </row>
    <row r="33" ht="28" customHeight="1" spans="1:26">
      <c r="A33" s="8">
        <v>29</v>
      </c>
      <c r="B33" s="10"/>
      <c r="C33" s="4" t="s">
        <v>382</v>
      </c>
      <c r="D33" s="4" t="s">
        <v>383</v>
      </c>
      <c r="E33" s="8">
        <v>1</v>
      </c>
      <c r="F33" s="4" t="s">
        <v>384</v>
      </c>
      <c r="G33" s="4"/>
      <c r="H33" s="4" t="s">
        <v>47</v>
      </c>
      <c r="I33" s="8">
        <v>1</v>
      </c>
      <c r="J33" s="4"/>
      <c r="K33" s="8"/>
      <c r="L33" s="4"/>
      <c r="M33" s="8"/>
      <c r="N33" s="4"/>
      <c r="O33" s="8"/>
      <c r="P33" s="8"/>
      <c r="Q33" s="8"/>
      <c r="R33" s="8"/>
      <c r="S33" s="8"/>
      <c r="T33" s="8"/>
      <c r="U33" s="8"/>
      <c r="V33" s="8"/>
      <c r="W33" s="8"/>
      <c r="X33" s="4" t="s">
        <v>371</v>
      </c>
      <c r="Y33" s="8"/>
      <c r="Z33" s="4"/>
    </row>
    <row r="34" ht="28" customHeight="1" spans="1:26">
      <c r="A34" s="8">
        <v>30</v>
      </c>
      <c r="B34" s="10"/>
      <c r="C34" s="4" t="s">
        <v>385</v>
      </c>
      <c r="D34" s="4" t="s">
        <v>383</v>
      </c>
      <c r="E34" s="8">
        <v>1</v>
      </c>
      <c r="F34" s="4" t="s">
        <v>386</v>
      </c>
      <c r="G34" s="4"/>
      <c r="H34" s="4" t="s">
        <v>47</v>
      </c>
      <c r="I34" s="8">
        <v>1</v>
      </c>
      <c r="J34" s="4"/>
      <c r="K34" s="8"/>
      <c r="L34" s="4"/>
      <c r="M34" s="8"/>
      <c r="N34" s="4"/>
      <c r="O34" s="8"/>
      <c r="P34" s="8"/>
      <c r="Q34" s="8"/>
      <c r="R34" s="8"/>
      <c r="S34" s="8"/>
      <c r="T34" s="8"/>
      <c r="U34" s="8"/>
      <c r="V34" s="8"/>
      <c r="W34" s="8"/>
      <c r="X34" s="4" t="s">
        <v>371</v>
      </c>
      <c r="Y34" s="8"/>
      <c r="Z34" s="4"/>
    </row>
    <row r="35" ht="28" customHeight="1" spans="1:26">
      <c r="A35" s="8">
        <v>31</v>
      </c>
      <c r="B35" s="10"/>
      <c r="C35" s="4" t="s">
        <v>387</v>
      </c>
      <c r="D35" s="4" t="s">
        <v>383</v>
      </c>
      <c r="E35" s="8">
        <v>1</v>
      </c>
      <c r="F35" s="4" t="s">
        <v>388</v>
      </c>
      <c r="G35" s="4"/>
      <c r="H35" s="4" t="s">
        <v>47</v>
      </c>
      <c r="I35" s="8">
        <v>1</v>
      </c>
      <c r="J35" s="4"/>
      <c r="K35" s="8"/>
      <c r="L35" s="4"/>
      <c r="M35" s="8"/>
      <c r="N35" s="4"/>
      <c r="O35" s="8"/>
      <c r="P35" s="8"/>
      <c r="Q35" s="8"/>
      <c r="R35" s="8"/>
      <c r="S35" s="8"/>
      <c r="T35" s="8"/>
      <c r="U35" s="8"/>
      <c r="V35" s="8"/>
      <c r="W35" s="8"/>
      <c r="X35" s="4" t="s">
        <v>371</v>
      </c>
      <c r="Y35" s="8"/>
      <c r="Z35" s="4"/>
    </row>
    <row r="36" ht="28" customHeight="1" spans="1:26">
      <c r="A36" s="8">
        <v>32</v>
      </c>
      <c r="B36" s="11"/>
      <c r="C36" s="4" t="s">
        <v>389</v>
      </c>
      <c r="D36" s="4" t="s">
        <v>383</v>
      </c>
      <c r="E36" s="8">
        <v>1</v>
      </c>
      <c r="F36" s="4" t="s">
        <v>390</v>
      </c>
      <c r="G36" s="4"/>
      <c r="H36" s="4" t="s">
        <v>47</v>
      </c>
      <c r="I36" s="8">
        <v>1</v>
      </c>
      <c r="J36" s="4"/>
      <c r="K36" s="8"/>
      <c r="L36" s="4"/>
      <c r="M36" s="8"/>
      <c r="N36" s="4"/>
      <c r="O36" s="8"/>
      <c r="P36" s="8"/>
      <c r="Q36" s="8"/>
      <c r="R36" s="8"/>
      <c r="S36" s="8"/>
      <c r="T36" s="8"/>
      <c r="U36" s="8"/>
      <c r="V36" s="8"/>
      <c r="W36" s="8"/>
      <c r="X36" s="4" t="s">
        <v>371</v>
      </c>
      <c r="Y36" s="8"/>
      <c r="Z36" s="4"/>
    </row>
    <row r="37" ht="28" customHeight="1" spans="1:26">
      <c r="A37" s="8">
        <v>33</v>
      </c>
      <c r="B37" s="4" t="s">
        <v>126</v>
      </c>
      <c r="C37" s="4" t="s">
        <v>132</v>
      </c>
      <c r="D37" s="4" t="s">
        <v>391</v>
      </c>
      <c r="E37" s="8">
        <v>1</v>
      </c>
      <c r="F37" s="4" t="s">
        <v>392</v>
      </c>
      <c r="G37" s="4" t="s">
        <v>137</v>
      </c>
      <c r="H37" s="4" t="s">
        <v>47</v>
      </c>
      <c r="I37" s="8">
        <v>1</v>
      </c>
      <c r="J37" s="4"/>
      <c r="K37" s="8"/>
      <c r="L37" s="4"/>
      <c r="M37" s="8"/>
      <c r="N37" s="4"/>
      <c r="O37" s="8"/>
      <c r="P37" s="8"/>
      <c r="Q37" s="8"/>
      <c r="R37" s="8"/>
      <c r="S37" s="8"/>
      <c r="T37" s="8"/>
      <c r="U37" s="8"/>
      <c r="V37" s="8"/>
      <c r="W37" s="8"/>
      <c r="X37" s="4" t="s">
        <v>330</v>
      </c>
      <c r="Y37" s="8"/>
      <c r="Z37" s="4" t="s">
        <v>393</v>
      </c>
    </row>
    <row r="38" ht="28" customHeight="1" spans="1:26">
      <c r="A38" s="8">
        <v>34</v>
      </c>
      <c r="B38" s="9" t="s">
        <v>138</v>
      </c>
      <c r="C38" s="4" t="s">
        <v>394</v>
      </c>
      <c r="D38" s="4" t="s">
        <v>395</v>
      </c>
      <c r="E38" s="8">
        <v>1</v>
      </c>
      <c r="F38" s="4" t="s">
        <v>396</v>
      </c>
      <c r="G38" s="4"/>
      <c r="H38" s="4" t="s">
        <v>47</v>
      </c>
      <c r="I38" s="8">
        <v>1</v>
      </c>
      <c r="J38" s="4"/>
      <c r="K38" s="8"/>
      <c r="L38" s="4"/>
      <c r="M38" s="8"/>
      <c r="N38" s="4"/>
      <c r="O38" s="8"/>
      <c r="P38" s="8"/>
      <c r="Q38" s="8"/>
      <c r="R38" s="8"/>
      <c r="S38" s="8"/>
      <c r="T38" s="8"/>
      <c r="U38" s="8"/>
      <c r="V38" s="8"/>
      <c r="W38" s="8"/>
      <c r="X38" s="4" t="s">
        <v>397</v>
      </c>
      <c r="Y38" s="8"/>
      <c r="Z38" s="4" t="s">
        <v>398</v>
      </c>
    </row>
    <row r="39" ht="28" customHeight="1" spans="1:26">
      <c r="A39" s="8">
        <v>35</v>
      </c>
      <c r="B39" s="10"/>
      <c r="C39" s="4" t="s">
        <v>399</v>
      </c>
      <c r="D39" s="4" t="s">
        <v>400</v>
      </c>
      <c r="E39" s="8">
        <v>1</v>
      </c>
      <c r="F39" s="4"/>
      <c r="G39" s="4"/>
      <c r="H39" s="4"/>
      <c r="I39" s="8"/>
      <c r="J39" s="4" t="s">
        <v>401</v>
      </c>
      <c r="K39" s="8">
        <v>1</v>
      </c>
      <c r="L39" s="4"/>
      <c r="M39" s="8"/>
      <c r="N39" s="4"/>
      <c r="O39" s="8"/>
      <c r="P39" s="8"/>
      <c r="Q39" s="8"/>
      <c r="R39" s="8"/>
      <c r="S39" s="8"/>
      <c r="T39" s="8"/>
      <c r="U39" s="8"/>
      <c r="V39" s="8"/>
      <c r="W39" s="8"/>
      <c r="X39" s="4" t="s">
        <v>371</v>
      </c>
      <c r="Y39" s="8"/>
      <c r="Z39" s="4"/>
    </row>
    <row r="40" ht="28" customHeight="1" spans="1:26">
      <c r="A40" s="8">
        <v>36</v>
      </c>
      <c r="B40" s="10"/>
      <c r="C40" s="4" t="s">
        <v>402</v>
      </c>
      <c r="D40" s="4" t="s">
        <v>400</v>
      </c>
      <c r="E40" s="8">
        <v>1</v>
      </c>
      <c r="F40" s="4"/>
      <c r="G40" s="4"/>
      <c r="H40" s="4"/>
      <c r="I40" s="8"/>
      <c r="J40" s="4" t="s">
        <v>377</v>
      </c>
      <c r="K40" s="8">
        <v>1</v>
      </c>
      <c r="L40" s="4"/>
      <c r="M40" s="8"/>
      <c r="N40" s="4"/>
      <c r="O40" s="8"/>
      <c r="P40" s="8"/>
      <c r="Q40" s="8"/>
      <c r="R40" s="8"/>
      <c r="S40" s="8"/>
      <c r="T40" s="8"/>
      <c r="U40" s="8"/>
      <c r="V40" s="8"/>
      <c r="W40" s="8"/>
      <c r="X40" s="4" t="s">
        <v>371</v>
      </c>
      <c r="Y40" s="8"/>
      <c r="Z40" s="4"/>
    </row>
    <row r="41" ht="28" customHeight="1" spans="1:26">
      <c r="A41" s="8">
        <v>37</v>
      </c>
      <c r="B41" s="12" t="s">
        <v>143</v>
      </c>
      <c r="C41" s="4" t="s">
        <v>403</v>
      </c>
      <c r="D41" s="4" t="s">
        <v>404</v>
      </c>
      <c r="E41" s="8">
        <v>1</v>
      </c>
      <c r="F41" s="4" t="s">
        <v>405</v>
      </c>
      <c r="G41" s="4"/>
      <c r="H41" s="4" t="s">
        <v>406</v>
      </c>
      <c r="I41" s="8">
        <v>1</v>
      </c>
      <c r="J41" s="4"/>
      <c r="K41" s="8"/>
      <c r="L41" s="4"/>
      <c r="M41" s="8"/>
      <c r="N41" s="4"/>
      <c r="O41" s="8"/>
      <c r="P41" s="8"/>
      <c r="Q41" s="8"/>
      <c r="R41" s="8"/>
      <c r="S41" s="8"/>
      <c r="T41" s="8"/>
      <c r="U41" s="8"/>
      <c r="V41" s="8"/>
      <c r="W41" s="8"/>
      <c r="X41" s="4" t="s">
        <v>397</v>
      </c>
      <c r="Y41" s="8"/>
      <c r="Z41" s="4" t="s">
        <v>407</v>
      </c>
    </row>
    <row r="42" ht="28" customHeight="1" spans="1:26">
      <c r="A42" s="8">
        <v>38</v>
      </c>
      <c r="B42" s="12"/>
      <c r="C42" s="4" t="s">
        <v>408</v>
      </c>
      <c r="D42" s="4" t="s">
        <v>404</v>
      </c>
      <c r="E42" s="8">
        <v>1</v>
      </c>
      <c r="F42" s="4" t="s">
        <v>409</v>
      </c>
      <c r="G42" s="4"/>
      <c r="H42" s="4" t="s">
        <v>406</v>
      </c>
      <c r="I42" s="8">
        <v>1</v>
      </c>
      <c r="J42" s="4"/>
      <c r="K42" s="8"/>
      <c r="L42" s="4"/>
      <c r="M42" s="8"/>
      <c r="N42" s="4"/>
      <c r="O42" s="8"/>
      <c r="P42" s="8"/>
      <c r="Q42" s="8"/>
      <c r="R42" s="8"/>
      <c r="S42" s="8"/>
      <c r="T42" s="8"/>
      <c r="U42" s="8"/>
      <c r="V42" s="8"/>
      <c r="W42" s="8"/>
      <c r="X42" s="4" t="s">
        <v>397</v>
      </c>
      <c r="Y42" s="8"/>
      <c r="Z42" s="4" t="s">
        <v>410</v>
      </c>
    </row>
    <row r="43" ht="28" customHeight="1" spans="1:26">
      <c r="A43" s="8">
        <v>39</v>
      </c>
      <c r="B43" s="12"/>
      <c r="C43" s="4" t="s">
        <v>411</v>
      </c>
      <c r="D43" s="4" t="s">
        <v>404</v>
      </c>
      <c r="E43" s="8">
        <v>1</v>
      </c>
      <c r="F43" s="4" t="s">
        <v>412</v>
      </c>
      <c r="G43" s="4"/>
      <c r="H43" s="4" t="s">
        <v>406</v>
      </c>
      <c r="I43" s="8">
        <v>1</v>
      </c>
      <c r="J43" s="4"/>
      <c r="K43" s="8"/>
      <c r="L43" s="4"/>
      <c r="M43" s="8"/>
      <c r="N43" s="4"/>
      <c r="O43" s="8"/>
      <c r="P43" s="8"/>
      <c r="Q43" s="8"/>
      <c r="R43" s="8"/>
      <c r="S43" s="8"/>
      <c r="T43" s="8"/>
      <c r="U43" s="8"/>
      <c r="V43" s="8"/>
      <c r="W43" s="8"/>
      <c r="X43" s="4" t="s">
        <v>397</v>
      </c>
      <c r="Y43" s="8"/>
      <c r="Z43" s="4" t="s">
        <v>413</v>
      </c>
    </row>
    <row r="44" ht="28" customHeight="1" spans="1:26">
      <c r="A44" s="8">
        <v>40</v>
      </c>
      <c r="B44" s="12"/>
      <c r="C44" s="4" t="s">
        <v>414</v>
      </c>
      <c r="D44" s="4" t="s">
        <v>415</v>
      </c>
      <c r="E44" s="8">
        <v>3</v>
      </c>
      <c r="F44" s="4"/>
      <c r="G44" s="4" t="s">
        <v>328</v>
      </c>
      <c r="H44" s="4"/>
      <c r="I44" s="8"/>
      <c r="J44" s="4"/>
      <c r="K44" s="8"/>
      <c r="L44" s="4" t="s">
        <v>329</v>
      </c>
      <c r="M44" s="8">
        <v>1</v>
      </c>
      <c r="N44" s="4"/>
      <c r="O44" s="8"/>
      <c r="P44" s="8"/>
      <c r="Q44" s="8"/>
      <c r="R44" s="8"/>
      <c r="S44" s="8"/>
      <c r="T44" s="8"/>
      <c r="U44" s="8"/>
      <c r="V44" s="8"/>
      <c r="W44" s="8"/>
      <c r="X44" s="4" t="s">
        <v>330</v>
      </c>
      <c r="Y44" s="8"/>
      <c r="Z44" s="4" t="s">
        <v>416</v>
      </c>
    </row>
    <row r="45" ht="28" customHeight="1" spans="1:26">
      <c r="A45" s="8">
        <v>41</v>
      </c>
      <c r="B45" s="12"/>
      <c r="C45" s="4" t="s">
        <v>417</v>
      </c>
      <c r="D45" s="4" t="s">
        <v>418</v>
      </c>
      <c r="E45" s="8">
        <v>3</v>
      </c>
      <c r="F45" s="4"/>
      <c r="G45" s="4" t="s">
        <v>328</v>
      </c>
      <c r="H45" s="4"/>
      <c r="I45" s="8"/>
      <c r="J45" s="4"/>
      <c r="K45" s="8"/>
      <c r="L45" s="4" t="s">
        <v>329</v>
      </c>
      <c r="M45" s="8">
        <v>1</v>
      </c>
      <c r="N45" s="4"/>
      <c r="O45" s="8"/>
      <c r="P45" s="8"/>
      <c r="Q45" s="8"/>
      <c r="R45" s="8"/>
      <c r="S45" s="8"/>
      <c r="T45" s="8"/>
      <c r="U45" s="8"/>
      <c r="V45" s="8"/>
      <c r="W45" s="8"/>
      <c r="X45" s="4" t="s">
        <v>330</v>
      </c>
      <c r="Y45" s="8"/>
      <c r="Z45" s="4" t="s">
        <v>416</v>
      </c>
    </row>
    <row r="46" ht="28" customHeight="1" spans="1:26">
      <c r="A46" s="8">
        <v>42</v>
      </c>
      <c r="B46" s="12"/>
      <c r="C46" s="4" t="s">
        <v>419</v>
      </c>
      <c r="D46" s="4" t="s">
        <v>418</v>
      </c>
      <c r="E46" s="8">
        <v>3</v>
      </c>
      <c r="F46" s="4"/>
      <c r="G46" s="4" t="s">
        <v>328</v>
      </c>
      <c r="H46" s="4"/>
      <c r="I46" s="8"/>
      <c r="J46" s="4"/>
      <c r="K46" s="8"/>
      <c r="L46" s="4" t="s">
        <v>329</v>
      </c>
      <c r="M46" s="8">
        <v>1</v>
      </c>
      <c r="N46" s="4"/>
      <c r="O46" s="8"/>
      <c r="P46" s="8"/>
      <c r="Q46" s="8"/>
      <c r="R46" s="8"/>
      <c r="S46" s="8"/>
      <c r="T46" s="8"/>
      <c r="U46" s="8"/>
      <c r="V46" s="8"/>
      <c r="W46" s="8"/>
      <c r="X46" s="4" t="s">
        <v>330</v>
      </c>
      <c r="Y46" s="8"/>
      <c r="Z46" s="4" t="s">
        <v>416</v>
      </c>
    </row>
    <row r="47" ht="28" customHeight="1" spans="1:26">
      <c r="A47" s="8">
        <v>43</v>
      </c>
      <c r="B47" s="12"/>
      <c r="C47" s="4" t="s">
        <v>420</v>
      </c>
      <c r="D47" s="4" t="s">
        <v>421</v>
      </c>
      <c r="E47" s="8">
        <v>1</v>
      </c>
      <c r="F47" s="4"/>
      <c r="G47" s="4"/>
      <c r="H47" s="4"/>
      <c r="I47" s="8"/>
      <c r="J47" s="4" t="s">
        <v>422</v>
      </c>
      <c r="K47" s="8">
        <v>2</v>
      </c>
      <c r="L47" s="4"/>
      <c r="M47" s="8"/>
      <c r="N47" s="4"/>
      <c r="O47" s="8"/>
      <c r="P47" s="8"/>
      <c r="Q47" s="8"/>
      <c r="R47" s="8"/>
      <c r="S47" s="8"/>
      <c r="T47" s="8"/>
      <c r="U47" s="8"/>
      <c r="V47" s="8"/>
      <c r="W47" s="8"/>
      <c r="X47" s="4" t="s">
        <v>423</v>
      </c>
      <c r="Y47" s="8"/>
      <c r="Z47" s="4"/>
    </row>
    <row r="48" ht="28" customHeight="1" spans="1:26">
      <c r="A48" s="8">
        <v>44</v>
      </c>
      <c r="B48" s="12"/>
      <c r="C48" s="4" t="s">
        <v>424</v>
      </c>
      <c r="D48" s="4" t="s">
        <v>421</v>
      </c>
      <c r="E48" s="8">
        <v>1</v>
      </c>
      <c r="F48" s="4"/>
      <c r="G48" s="4"/>
      <c r="H48" s="4"/>
      <c r="I48" s="8"/>
      <c r="J48" s="4" t="s">
        <v>422</v>
      </c>
      <c r="K48" s="8">
        <v>2</v>
      </c>
      <c r="L48" s="4"/>
      <c r="M48" s="8"/>
      <c r="N48" s="4"/>
      <c r="O48" s="8"/>
      <c r="P48" s="8"/>
      <c r="Q48" s="8"/>
      <c r="R48" s="8"/>
      <c r="S48" s="8"/>
      <c r="T48" s="8"/>
      <c r="U48" s="8"/>
      <c r="V48" s="8"/>
      <c r="W48" s="8"/>
      <c r="X48" s="4" t="s">
        <v>423</v>
      </c>
      <c r="Y48" s="8"/>
      <c r="Z48" s="4"/>
    </row>
    <row r="49" ht="28" customHeight="1" spans="1:26">
      <c r="A49" s="8">
        <v>45</v>
      </c>
      <c r="B49" s="13"/>
      <c r="C49" s="4" t="s">
        <v>425</v>
      </c>
      <c r="D49" s="4" t="s">
        <v>421</v>
      </c>
      <c r="E49" s="8">
        <v>1</v>
      </c>
      <c r="F49" s="4"/>
      <c r="G49" s="4"/>
      <c r="H49" s="4"/>
      <c r="I49" s="8"/>
      <c r="J49" s="4" t="s">
        <v>422</v>
      </c>
      <c r="K49" s="8">
        <v>2</v>
      </c>
      <c r="L49" s="4"/>
      <c r="M49" s="8"/>
      <c r="N49" s="4"/>
      <c r="O49" s="8"/>
      <c r="P49" s="8"/>
      <c r="Q49" s="8"/>
      <c r="R49" s="8"/>
      <c r="S49" s="8"/>
      <c r="T49" s="8"/>
      <c r="U49" s="8"/>
      <c r="V49" s="8"/>
      <c r="W49" s="8"/>
      <c r="X49" s="4" t="s">
        <v>423</v>
      </c>
      <c r="Y49" s="8"/>
      <c r="Z49" s="4"/>
    </row>
    <row r="50" ht="28" customHeight="1" spans="1:26">
      <c r="A50" s="8">
        <v>46</v>
      </c>
      <c r="B50" s="9" t="s">
        <v>162</v>
      </c>
      <c r="C50" s="4" t="s">
        <v>426</v>
      </c>
      <c r="D50" s="4" t="s">
        <v>418</v>
      </c>
      <c r="E50" s="8">
        <v>3</v>
      </c>
      <c r="F50" s="4"/>
      <c r="G50" s="4" t="s">
        <v>328</v>
      </c>
      <c r="H50" s="4"/>
      <c r="I50" s="8"/>
      <c r="J50" s="4"/>
      <c r="K50" s="8"/>
      <c r="L50" s="4" t="s">
        <v>329</v>
      </c>
      <c r="M50" s="8">
        <v>1</v>
      </c>
      <c r="N50" s="4"/>
      <c r="O50" s="8"/>
      <c r="P50" s="8"/>
      <c r="Q50" s="8"/>
      <c r="R50" s="8"/>
      <c r="S50" s="8"/>
      <c r="T50" s="8"/>
      <c r="U50" s="8"/>
      <c r="V50" s="8"/>
      <c r="W50" s="8"/>
      <c r="X50" s="4" t="s">
        <v>330</v>
      </c>
      <c r="Y50" s="8"/>
      <c r="Z50" s="4" t="s">
        <v>416</v>
      </c>
    </row>
    <row r="51" ht="28" customHeight="1" spans="1:26">
      <c r="A51" s="8">
        <v>47</v>
      </c>
      <c r="B51" s="10"/>
      <c r="C51" s="4" t="s">
        <v>427</v>
      </c>
      <c r="D51" s="4" t="s">
        <v>428</v>
      </c>
      <c r="E51" s="8">
        <v>1</v>
      </c>
      <c r="F51" s="4" t="s">
        <v>429</v>
      </c>
      <c r="G51" s="4"/>
      <c r="H51" s="4" t="s">
        <v>406</v>
      </c>
      <c r="I51" s="8">
        <v>1</v>
      </c>
      <c r="J51" s="4"/>
      <c r="K51" s="8"/>
      <c r="L51" s="4"/>
      <c r="M51" s="8"/>
      <c r="N51" s="4"/>
      <c r="O51" s="8"/>
      <c r="P51" s="8"/>
      <c r="Q51" s="8"/>
      <c r="R51" s="8"/>
      <c r="S51" s="8"/>
      <c r="T51" s="8"/>
      <c r="U51" s="8"/>
      <c r="V51" s="8"/>
      <c r="W51" s="8"/>
      <c r="X51" s="4" t="s">
        <v>430</v>
      </c>
      <c r="Y51" s="8"/>
      <c r="Z51" s="4" t="s">
        <v>410</v>
      </c>
    </row>
    <row r="52" ht="28" customHeight="1" spans="1:26">
      <c r="A52" s="8">
        <v>48</v>
      </c>
      <c r="B52" s="10"/>
      <c r="C52" s="4" t="s">
        <v>431</v>
      </c>
      <c r="D52" s="4" t="s">
        <v>421</v>
      </c>
      <c r="E52" s="8">
        <v>1</v>
      </c>
      <c r="F52" s="4"/>
      <c r="G52" s="4"/>
      <c r="H52" s="4"/>
      <c r="I52" s="8"/>
      <c r="J52" s="4" t="s">
        <v>422</v>
      </c>
      <c r="K52" s="8">
        <v>2</v>
      </c>
      <c r="L52" s="4"/>
      <c r="M52" s="8"/>
      <c r="N52" s="4"/>
      <c r="O52" s="8"/>
      <c r="P52" s="8"/>
      <c r="Q52" s="8"/>
      <c r="R52" s="8"/>
      <c r="S52" s="8"/>
      <c r="T52" s="8"/>
      <c r="U52" s="8"/>
      <c r="V52" s="8"/>
      <c r="W52" s="8"/>
      <c r="X52" s="4" t="s">
        <v>423</v>
      </c>
      <c r="Y52" s="8"/>
      <c r="Z52" s="4"/>
    </row>
    <row r="53" ht="28" customHeight="1" spans="1:26">
      <c r="A53" s="8">
        <v>49</v>
      </c>
      <c r="B53" s="11"/>
      <c r="C53" s="4" t="s">
        <v>432</v>
      </c>
      <c r="D53" s="4" t="s">
        <v>433</v>
      </c>
      <c r="E53" s="8">
        <v>1</v>
      </c>
      <c r="F53" s="4" t="s">
        <v>434</v>
      </c>
      <c r="G53" s="4"/>
      <c r="H53" s="4" t="s">
        <v>406</v>
      </c>
      <c r="I53" s="8">
        <v>1</v>
      </c>
      <c r="J53" s="4"/>
      <c r="K53" s="8"/>
      <c r="L53" s="4"/>
      <c r="M53" s="8"/>
      <c r="N53" s="4"/>
      <c r="O53" s="8"/>
      <c r="P53" s="8"/>
      <c r="Q53" s="8"/>
      <c r="R53" s="8"/>
      <c r="S53" s="8"/>
      <c r="T53" s="8"/>
      <c r="U53" s="8"/>
      <c r="V53" s="8"/>
      <c r="W53" s="8"/>
      <c r="X53" s="4" t="s">
        <v>430</v>
      </c>
      <c r="Y53" s="8"/>
      <c r="Z53" s="4"/>
    </row>
    <row r="54" ht="28" customHeight="1" spans="1:26">
      <c r="A54" s="8">
        <v>50</v>
      </c>
      <c r="B54" s="9" t="s">
        <v>435</v>
      </c>
      <c r="C54" s="4" t="s">
        <v>436</v>
      </c>
      <c r="D54" s="4" t="s">
        <v>437</v>
      </c>
      <c r="E54" s="8">
        <v>1</v>
      </c>
      <c r="F54" s="4" t="s">
        <v>438</v>
      </c>
      <c r="G54" s="4"/>
      <c r="H54" s="4" t="s">
        <v>406</v>
      </c>
      <c r="I54" s="8">
        <v>1</v>
      </c>
      <c r="J54" s="4" t="s">
        <v>439</v>
      </c>
      <c r="K54" s="8">
        <v>1</v>
      </c>
      <c r="L54" s="4"/>
      <c r="M54" s="8"/>
      <c r="N54" s="4"/>
      <c r="O54" s="8"/>
      <c r="P54" s="8"/>
      <c r="Q54" s="8"/>
      <c r="R54" s="8"/>
      <c r="S54" s="8"/>
      <c r="T54" s="8"/>
      <c r="U54" s="8"/>
      <c r="V54" s="8"/>
      <c r="W54" s="8"/>
      <c r="X54" s="4" t="s">
        <v>430</v>
      </c>
      <c r="Y54" s="8"/>
      <c r="Z54" s="4" t="s">
        <v>410</v>
      </c>
    </row>
    <row r="55" ht="28" customHeight="1" spans="1:26">
      <c r="A55" s="8">
        <v>51</v>
      </c>
      <c r="B55" s="10"/>
      <c r="C55" s="4" t="s">
        <v>440</v>
      </c>
      <c r="D55" s="4" t="s">
        <v>421</v>
      </c>
      <c r="E55" s="8">
        <v>1</v>
      </c>
      <c r="F55" s="4"/>
      <c r="G55" s="4"/>
      <c r="H55" s="4"/>
      <c r="I55" s="8"/>
      <c r="J55" s="4" t="s">
        <v>422</v>
      </c>
      <c r="K55" s="8">
        <v>2</v>
      </c>
      <c r="L55" s="4"/>
      <c r="M55" s="8"/>
      <c r="N55" s="4"/>
      <c r="O55" s="8"/>
      <c r="P55" s="8"/>
      <c r="Q55" s="8"/>
      <c r="R55" s="8"/>
      <c r="S55" s="8"/>
      <c r="T55" s="8"/>
      <c r="U55" s="8"/>
      <c r="V55" s="8"/>
      <c r="W55" s="8"/>
      <c r="X55" s="4" t="s">
        <v>423</v>
      </c>
      <c r="Y55" s="8"/>
      <c r="Z55" s="4"/>
    </row>
    <row r="56" ht="28" customHeight="1" spans="1:26">
      <c r="A56" s="8">
        <v>52</v>
      </c>
      <c r="B56" s="10"/>
      <c r="C56" s="4" t="s">
        <v>441</v>
      </c>
      <c r="D56" s="4" t="s">
        <v>442</v>
      </c>
      <c r="E56" s="8">
        <v>1</v>
      </c>
      <c r="F56" s="4"/>
      <c r="G56" s="4" t="s">
        <v>328</v>
      </c>
      <c r="H56" s="4"/>
      <c r="I56" s="8"/>
      <c r="J56" s="4"/>
      <c r="K56" s="8"/>
      <c r="L56" s="4" t="s">
        <v>329</v>
      </c>
      <c r="M56" s="8">
        <v>1</v>
      </c>
      <c r="N56" s="4"/>
      <c r="O56" s="8"/>
      <c r="P56" s="8"/>
      <c r="Q56" s="8"/>
      <c r="R56" s="8"/>
      <c r="S56" s="8"/>
      <c r="T56" s="8"/>
      <c r="U56" s="8"/>
      <c r="V56" s="8"/>
      <c r="W56" s="8"/>
      <c r="X56" s="4" t="s">
        <v>330</v>
      </c>
      <c r="Y56" s="8"/>
      <c r="Z56" s="4" t="s">
        <v>443</v>
      </c>
    </row>
    <row r="57" ht="28" customHeight="1" spans="1:26">
      <c r="A57" s="8">
        <v>53</v>
      </c>
      <c r="B57" s="10"/>
      <c r="C57" s="4" t="s">
        <v>444</v>
      </c>
      <c r="D57" s="4" t="s">
        <v>437</v>
      </c>
      <c r="E57" s="8">
        <v>1</v>
      </c>
      <c r="F57" s="4" t="s">
        <v>445</v>
      </c>
      <c r="G57" s="4"/>
      <c r="H57" s="4" t="s">
        <v>406</v>
      </c>
      <c r="I57" s="8">
        <v>1</v>
      </c>
      <c r="J57" s="4" t="s">
        <v>439</v>
      </c>
      <c r="K57" s="8">
        <v>1</v>
      </c>
      <c r="L57" s="4"/>
      <c r="M57" s="8"/>
      <c r="N57" s="4"/>
      <c r="O57" s="8"/>
      <c r="P57" s="8"/>
      <c r="Q57" s="8"/>
      <c r="R57" s="8"/>
      <c r="S57" s="8"/>
      <c r="T57" s="8"/>
      <c r="U57" s="8"/>
      <c r="V57" s="8"/>
      <c r="W57" s="8"/>
      <c r="X57" s="4" t="s">
        <v>430</v>
      </c>
      <c r="Y57" s="8"/>
      <c r="Z57" s="4" t="s">
        <v>410</v>
      </c>
    </row>
    <row r="58" ht="28" customHeight="1" spans="1:26">
      <c r="A58" s="8">
        <v>54</v>
      </c>
      <c r="B58" s="10"/>
      <c r="C58" s="4" t="s">
        <v>446</v>
      </c>
      <c r="D58" s="4" t="s">
        <v>421</v>
      </c>
      <c r="E58" s="8">
        <v>1</v>
      </c>
      <c r="F58" s="4"/>
      <c r="G58" s="4"/>
      <c r="H58" s="4"/>
      <c r="I58" s="8"/>
      <c r="J58" s="4" t="s">
        <v>422</v>
      </c>
      <c r="K58" s="8">
        <v>2</v>
      </c>
      <c r="L58" s="4"/>
      <c r="M58" s="8"/>
      <c r="N58" s="4"/>
      <c r="O58" s="8"/>
      <c r="P58" s="8"/>
      <c r="Q58" s="8"/>
      <c r="R58" s="8"/>
      <c r="S58" s="8"/>
      <c r="T58" s="8"/>
      <c r="U58" s="8"/>
      <c r="V58" s="8"/>
      <c r="W58" s="8"/>
      <c r="X58" s="4" t="s">
        <v>423</v>
      </c>
      <c r="Y58" s="8"/>
      <c r="Z58" s="4"/>
    </row>
    <row r="59" ht="28" customHeight="1" spans="1:26">
      <c r="A59" s="8">
        <v>55</v>
      </c>
      <c r="B59" s="10"/>
      <c r="C59" s="4" t="s">
        <v>447</v>
      </c>
      <c r="D59" s="4" t="s">
        <v>442</v>
      </c>
      <c r="E59" s="8">
        <v>1</v>
      </c>
      <c r="F59" s="4"/>
      <c r="G59" s="4" t="s">
        <v>328</v>
      </c>
      <c r="H59" s="4"/>
      <c r="I59" s="8"/>
      <c r="J59" s="4"/>
      <c r="K59" s="8"/>
      <c r="L59" s="4" t="s">
        <v>329</v>
      </c>
      <c r="M59" s="8">
        <v>1</v>
      </c>
      <c r="N59" s="4"/>
      <c r="O59" s="8"/>
      <c r="P59" s="8"/>
      <c r="Q59" s="8"/>
      <c r="R59" s="8"/>
      <c r="S59" s="8"/>
      <c r="T59" s="8"/>
      <c r="U59" s="8"/>
      <c r="V59" s="8"/>
      <c r="W59" s="8"/>
      <c r="X59" s="4" t="s">
        <v>330</v>
      </c>
      <c r="Y59" s="8"/>
      <c r="Z59" s="4" t="s">
        <v>443</v>
      </c>
    </row>
    <row r="60" ht="28" customHeight="1" spans="1:26">
      <c r="A60" s="8">
        <v>56</v>
      </c>
      <c r="B60" s="10"/>
      <c r="C60" s="4" t="s">
        <v>448</v>
      </c>
      <c r="D60" s="4" t="s">
        <v>433</v>
      </c>
      <c r="E60" s="8">
        <v>1</v>
      </c>
      <c r="F60" s="4" t="s">
        <v>449</v>
      </c>
      <c r="G60" s="4"/>
      <c r="H60" s="4" t="s">
        <v>406</v>
      </c>
      <c r="I60" s="8">
        <v>1</v>
      </c>
      <c r="J60" s="4"/>
      <c r="K60" s="8"/>
      <c r="L60" s="4"/>
      <c r="M60" s="8"/>
      <c r="N60" s="4"/>
      <c r="O60" s="8"/>
      <c r="P60" s="8"/>
      <c r="Q60" s="8"/>
      <c r="R60" s="8"/>
      <c r="S60" s="8"/>
      <c r="T60" s="8"/>
      <c r="U60" s="8"/>
      <c r="V60" s="8"/>
      <c r="W60" s="8"/>
      <c r="X60" s="4" t="s">
        <v>430</v>
      </c>
      <c r="Y60" s="8"/>
      <c r="Z60" s="4"/>
    </row>
    <row r="61" ht="28" customHeight="1" spans="1:26">
      <c r="A61" s="8">
        <v>57</v>
      </c>
      <c r="B61" s="10"/>
      <c r="C61" s="4" t="s">
        <v>450</v>
      </c>
      <c r="D61" s="4" t="s">
        <v>433</v>
      </c>
      <c r="E61" s="8">
        <v>1</v>
      </c>
      <c r="F61" s="4" t="s">
        <v>451</v>
      </c>
      <c r="G61" s="4"/>
      <c r="H61" s="4" t="s">
        <v>406</v>
      </c>
      <c r="I61" s="8">
        <v>1</v>
      </c>
      <c r="J61" s="4"/>
      <c r="K61" s="8"/>
      <c r="L61" s="4"/>
      <c r="M61" s="8"/>
      <c r="N61" s="4"/>
      <c r="O61" s="8"/>
      <c r="P61" s="8"/>
      <c r="Q61" s="8"/>
      <c r="R61" s="8"/>
      <c r="S61" s="8"/>
      <c r="T61" s="8"/>
      <c r="U61" s="8"/>
      <c r="V61" s="8"/>
      <c r="W61" s="8"/>
      <c r="X61" s="4" t="s">
        <v>430</v>
      </c>
      <c r="Y61" s="8"/>
      <c r="Z61" s="4"/>
    </row>
    <row r="62" ht="28" customHeight="1" spans="1:26">
      <c r="A62" s="8">
        <v>58</v>
      </c>
      <c r="B62" s="10"/>
      <c r="C62" s="4" t="s">
        <v>452</v>
      </c>
      <c r="D62" s="4" t="s">
        <v>433</v>
      </c>
      <c r="E62" s="8">
        <v>1</v>
      </c>
      <c r="F62" s="4" t="s">
        <v>453</v>
      </c>
      <c r="G62" s="4"/>
      <c r="H62" s="4" t="s">
        <v>406</v>
      </c>
      <c r="I62" s="8">
        <v>1</v>
      </c>
      <c r="J62" s="4"/>
      <c r="K62" s="8"/>
      <c r="L62" s="4"/>
      <c r="M62" s="8"/>
      <c r="N62" s="4"/>
      <c r="O62" s="8"/>
      <c r="P62" s="8"/>
      <c r="Q62" s="8"/>
      <c r="R62" s="8"/>
      <c r="S62" s="8"/>
      <c r="T62" s="8"/>
      <c r="U62" s="8"/>
      <c r="V62" s="8"/>
      <c r="W62" s="8"/>
      <c r="X62" s="4" t="s">
        <v>430</v>
      </c>
      <c r="Y62" s="8"/>
      <c r="Z62" s="4"/>
    </row>
    <row r="63" ht="28" customHeight="1" spans="1:26">
      <c r="A63" s="8">
        <v>59</v>
      </c>
      <c r="B63" s="11"/>
      <c r="C63" s="4" t="s">
        <v>454</v>
      </c>
      <c r="D63" s="4" t="s">
        <v>433</v>
      </c>
      <c r="E63" s="8">
        <v>1</v>
      </c>
      <c r="F63" s="4" t="s">
        <v>455</v>
      </c>
      <c r="G63" s="4"/>
      <c r="H63" s="4" t="s">
        <v>406</v>
      </c>
      <c r="I63" s="8">
        <v>1</v>
      </c>
      <c r="J63" s="4"/>
      <c r="K63" s="8"/>
      <c r="L63" s="4"/>
      <c r="M63" s="8"/>
      <c r="N63" s="4"/>
      <c r="O63" s="8"/>
      <c r="P63" s="8"/>
      <c r="Q63" s="8"/>
      <c r="R63" s="8"/>
      <c r="S63" s="8"/>
      <c r="T63" s="8"/>
      <c r="U63" s="8"/>
      <c r="V63" s="8"/>
      <c r="W63" s="8"/>
      <c r="X63" s="4" t="s">
        <v>430</v>
      </c>
      <c r="Y63" s="8"/>
      <c r="Z63" s="4"/>
    </row>
    <row r="64" ht="28" customHeight="1" spans="1:26">
      <c r="A64" s="8">
        <v>60</v>
      </c>
      <c r="B64" s="4" t="s">
        <v>186</v>
      </c>
      <c r="C64" s="4" t="s">
        <v>456</v>
      </c>
      <c r="D64" s="4" t="s">
        <v>457</v>
      </c>
      <c r="E64" s="8">
        <v>1</v>
      </c>
      <c r="F64" s="4"/>
      <c r="G64" s="4"/>
      <c r="H64" s="4"/>
      <c r="I64" s="8"/>
      <c r="J64" s="4"/>
      <c r="K64" s="8"/>
      <c r="L64" s="4" t="s">
        <v>457</v>
      </c>
      <c r="M64" s="8">
        <v>1</v>
      </c>
      <c r="N64" s="4"/>
      <c r="O64" s="8"/>
      <c r="P64" s="8"/>
      <c r="Q64" s="8"/>
      <c r="R64" s="8"/>
      <c r="S64" s="8"/>
      <c r="T64" s="8"/>
      <c r="U64" s="8"/>
      <c r="V64" s="8"/>
      <c r="W64" s="8"/>
      <c r="X64" s="4" t="s">
        <v>330</v>
      </c>
      <c r="Y64" s="8"/>
      <c r="Z64" s="4"/>
    </row>
    <row r="65" ht="28" customHeight="1" spans="1:26">
      <c r="A65" s="8">
        <v>61</v>
      </c>
      <c r="B65" s="9" t="s">
        <v>458</v>
      </c>
      <c r="C65" s="4" t="s">
        <v>459</v>
      </c>
      <c r="D65" s="4" t="s">
        <v>355</v>
      </c>
      <c r="E65" s="8">
        <v>1</v>
      </c>
      <c r="F65" s="4"/>
      <c r="G65" s="4" t="s">
        <v>460</v>
      </c>
      <c r="H65" s="4"/>
      <c r="I65" s="8"/>
      <c r="J65" s="4"/>
      <c r="K65" s="8"/>
      <c r="L65" s="4" t="s">
        <v>357</v>
      </c>
      <c r="M65" s="8">
        <v>1</v>
      </c>
      <c r="N65" s="4"/>
      <c r="O65" s="8"/>
      <c r="P65" s="8"/>
      <c r="Q65" s="8"/>
      <c r="R65" s="8"/>
      <c r="S65" s="8"/>
      <c r="T65" s="8"/>
      <c r="U65" s="8"/>
      <c r="V65" s="8"/>
      <c r="W65" s="8"/>
      <c r="X65" s="4" t="s">
        <v>330</v>
      </c>
      <c r="Y65" s="8"/>
      <c r="Z65" s="4"/>
    </row>
    <row r="66" ht="28" customHeight="1" spans="1:26">
      <c r="A66" s="8">
        <v>63</v>
      </c>
      <c r="B66" s="10"/>
      <c r="C66" s="4" t="s">
        <v>461</v>
      </c>
      <c r="D66" s="4" t="s">
        <v>355</v>
      </c>
      <c r="E66" s="8">
        <v>1</v>
      </c>
      <c r="F66" s="4"/>
      <c r="G66" s="4" t="s">
        <v>462</v>
      </c>
      <c r="H66" s="4"/>
      <c r="I66" s="8"/>
      <c r="J66" s="4"/>
      <c r="K66" s="8"/>
      <c r="L66" s="4" t="s">
        <v>357</v>
      </c>
      <c r="M66" s="8">
        <v>1</v>
      </c>
      <c r="N66" s="4"/>
      <c r="O66" s="8"/>
      <c r="P66" s="8"/>
      <c r="Q66" s="8"/>
      <c r="R66" s="8"/>
      <c r="S66" s="8"/>
      <c r="T66" s="8"/>
      <c r="U66" s="8"/>
      <c r="V66" s="8"/>
      <c r="W66" s="8"/>
      <c r="X66" s="4" t="s">
        <v>330</v>
      </c>
      <c r="Y66" s="8"/>
      <c r="Z66" s="4"/>
    </row>
    <row r="67" ht="28" customHeight="1" spans="1:26">
      <c r="A67" s="8">
        <v>65</v>
      </c>
      <c r="B67" s="10"/>
      <c r="C67" s="4" t="s">
        <v>463</v>
      </c>
      <c r="D67" s="4" t="s">
        <v>355</v>
      </c>
      <c r="E67" s="8">
        <v>1</v>
      </c>
      <c r="F67" s="4"/>
      <c r="G67" s="4" t="s">
        <v>464</v>
      </c>
      <c r="H67" s="4"/>
      <c r="I67" s="8"/>
      <c r="J67" s="4"/>
      <c r="K67" s="8"/>
      <c r="L67" s="4" t="s">
        <v>357</v>
      </c>
      <c r="M67" s="8">
        <v>1</v>
      </c>
      <c r="N67" s="4"/>
      <c r="O67" s="8"/>
      <c r="P67" s="8"/>
      <c r="Q67" s="8"/>
      <c r="R67" s="8"/>
      <c r="S67" s="8"/>
      <c r="T67" s="8"/>
      <c r="U67" s="8"/>
      <c r="V67" s="8"/>
      <c r="W67" s="8"/>
      <c r="X67" s="4" t="s">
        <v>330</v>
      </c>
      <c r="Y67" s="8"/>
      <c r="Z67" s="4"/>
    </row>
    <row r="68" ht="28" customHeight="1" spans="1:26">
      <c r="A68" s="8">
        <v>67</v>
      </c>
      <c r="B68" s="10"/>
      <c r="C68" s="4" t="s">
        <v>465</v>
      </c>
      <c r="D68" s="4" t="s">
        <v>355</v>
      </c>
      <c r="E68" s="8">
        <v>1</v>
      </c>
      <c r="F68" s="4"/>
      <c r="G68" s="4" t="s">
        <v>466</v>
      </c>
      <c r="H68" s="4"/>
      <c r="I68" s="8"/>
      <c r="J68" s="4"/>
      <c r="K68" s="8"/>
      <c r="L68" s="4" t="s">
        <v>357</v>
      </c>
      <c r="M68" s="8">
        <v>1</v>
      </c>
      <c r="N68" s="4"/>
      <c r="O68" s="8"/>
      <c r="P68" s="8"/>
      <c r="Q68" s="8"/>
      <c r="R68" s="8"/>
      <c r="S68" s="8"/>
      <c r="T68" s="8"/>
      <c r="U68" s="8"/>
      <c r="V68" s="8"/>
      <c r="W68" s="8"/>
      <c r="X68" s="4" t="s">
        <v>330</v>
      </c>
      <c r="Y68" s="8"/>
      <c r="Z68" s="4"/>
    </row>
    <row r="69" ht="28" customHeight="1" spans="1:26">
      <c r="A69" s="8">
        <v>69</v>
      </c>
      <c r="B69" s="10"/>
      <c r="C69" s="4" t="s">
        <v>467</v>
      </c>
      <c r="D69" s="4" t="s">
        <v>355</v>
      </c>
      <c r="E69" s="8">
        <v>1</v>
      </c>
      <c r="F69" s="4"/>
      <c r="G69" s="4" t="s">
        <v>468</v>
      </c>
      <c r="H69" s="4"/>
      <c r="I69" s="8"/>
      <c r="J69" s="4"/>
      <c r="K69" s="8"/>
      <c r="L69" s="4" t="s">
        <v>357</v>
      </c>
      <c r="M69" s="8">
        <v>1</v>
      </c>
      <c r="N69" s="4"/>
      <c r="O69" s="8"/>
      <c r="P69" s="8"/>
      <c r="Q69" s="8"/>
      <c r="R69" s="8"/>
      <c r="S69" s="8"/>
      <c r="T69" s="8"/>
      <c r="U69" s="8"/>
      <c r="V69" s="8"/>
      <c r="W69" s="8"/>
      <c r="X69" s="4" t="s">
        <v>330</v>
      </c>
      <c r="Y69" s="8"/>
      <c r="Z69" s="4"/>
    </row>
    <row r="70" ht="28" customHeight="1" spans="1:26">
      <c r="A70" s="8">
        <v>71</v>
      </c>
      <c r="B70" s="10"/>
      <c r="C70" s="4" t="s">
        <v>469</v>
      </c>
      <c r="D70" s="4" t="s">
        <v>355</v>
      </c>
      <c r="E70" s="8">
        <v>1</v>
      </c>
      <c r="F70" s="4"/>
      <c r="G70" s="4" t="s">
        <v>470</v>
      </c>
      <c r="H70" s="4"/>
      <c r="I70" s="8"/>
      <c r="J70" s="4"/>
      <c r="K70" s="8"/>
      <c r="L70" s="4" t="s">
        <v>357</v>
      </c>
      <c r="M70" s="8">
        <v>1</v>
      </c>
      <c r="N70" s="4"/>
      <c r="O70" s="8"/>
      <c r="P70" s="8"/>
      <c r="Q70" s="8"/>
      <c r="R70" s="8"/>
      <c r="S70" s="8"/>
      <c r="T70" s="8"/>
      <c r="U70" s="8"/>
      <c r="V70" s="8"/>
      <c r="W70" s="8"/>
      <c r="X70" s="4" t="s">
        <v>330</v>
      </c>
      <c r="Y70" s="8"/>
      <c r="Z70" s="4"/>
    </row>
    <row r="71" ht="28" customHeight="1" spans="1:26">
      <c r="A71" s="8">
        <v>73</v>
      </c>
      <c r="B71" s="10"/>
      <c r="C71" s="4" t="s">
        <v>471</v>
      </c>
      <c r="D71" s="4" t="s">
        <v>355</v>
      </c>
      <c r="E71" s="8">
        <v>1</v>
      </c>
      <c r="F71" s="4"/>
      <c r="G71" s="4" t="s">
        <v>472</v>
      </c>
      <c r="H71" s="4"/>
      <c r="I71" s="8"/>
      <c r="J71" s="4"/>
      <c r="K71" s="8"/>
      <c r="L71" s="4" t="s">
        <v>357</v>
      </c>
      <c r="M71" s="8">
        <v>1</v>
      </c>
      <c r="N71" s="4"/>
      <c r="O71" s="8"/>
      <c r="P71" s="8"/>
      <c r="Q71" s="8"/>
      <c r="R71" s="8"/>
      <c r="S71" s="8"/>
      <c r="T71" s="8"/>
      <c r="U71" s="8"/>
      <c r="V71" s="8"/>
      <c r="W71" s="8"/>
      <c r="X71" s="4" t="s">
        <v>330</v>
      </c>
      <c r="Y71" s="8"/>
      <c r="Z71" s="4" t="s">
        <v>262</v>
      </c>
    </row>
    <row r="72" ht="28" customHeight="1" spans="1:26">
      <c r="A72" s="8">
        <v>75</v>
      </c>
      <c r="B72" s="9" t="s">
        <v>473</v>
      </c>
      <c r="C72" s="4" t="s">
        <v>474</v>
      </c>
      <c r="D72" s="4" t="s">
        <v>383</v>
      </c>
      <c r="E72" s="8">
        <v>1</v>
      </c>
      <c r="F72" s="4" t="s">
        <v>475</v>
      </c>
      <c r="G72" s="4"/>
      <c r="H72" s="4" t="s">
        <v>47</v>
      </c>
      <c r="I72" s="8">
        <v>1</v>
      </c>
      <c r="J72" s="4"/>
      <c r="K72" s="8"/>
      <c r="L72" s="4"/>
      <c r="M72" s="8"/>
      <c r="N72" s="4"/>
      <c r="O72" s="8"/>
      <c r="P72" s="8"/>
      <c r="Q72" s="8"/>
      <c r="R72" s="8"/>
      <c r="S72" s="8"/>
      <c r="T72" s="8"/>
      <c r="U72" s="8"/>
      <c r="V72" s="8"/>
      <c r="W72" s="8"/>
      <c r="X72" s="4" t="s">
        <v>423</v>
      </c>
      <c r="Y72" s="8"/>
      <c r="Z72" s="4" t="s">
        <v>476</v>
      </c>
    </row>
    <row r="73" ht="28" customHeight="1" spans="1:26">
      <c r="A73" s="8">
        <v>78</v>
      </c>
      <c r="B73" s="9" t="s">
        <v>477</v>
      </c>
      <c r="C73" s="4" t="s">
        <v>474</v>
      </c>
      <c r="D73" s="4" t="s">
        <v>383</v>
      </c>
      <c r="E73" s="8">
        <v>1</v>
      </c>
      <c r="F73" s="4" t="s">
        <v>478</v>
      </c>
      <c r="G73" s="4"/>
      <c r="H73" s="4" t="s">
        <v>47</v>
      </c>
      <c r="I73" s="8">
        <v>1</v>
      </c>
      <c r="J73" s="4"/>
      <c r="K73" s="8"/>
      <c r="L73" s="4"/>
      <c r="M73" s="8"/>
      <c r="N73" s="4"/>
      <c r="O73" s="8"/>
      <c r="P73" s="8"/>
      <c r="Q73" s="8"/>
      <c r="R73" s="8"/>
      <c r="S73" s="8"/>
      <c r="T73" s="8"/>
      <c r="U73" s="8"/>
      <c r="V73" s="8"/>
      <c r="W73" s="8"/>
      <c r="X73" s="4" t="s">
        <v>423</v>
      </c>
      <c r="Y73" s="8"/>
      <c r="Z73" s="4" t="s">
        <v>476</v>
      </c>
    </row>
    <row r="74" ht="28" customHeight="1" spans="1:26">
      <c r="A74" s="8">
        <v>81</v>
      </c>
      <c r="B74" s="9" t="s">
        <v>479</v>
      </c>
      <c r="C74" s="4" t="s">
        <v>474</v>
      </c>
      <c r="D74" s="4" t="s">
        <v>383</v>
      </c>
      <c r="E74" s="8">
        <v>1</v>
      </c>
      <c r="F74" s="4" t="s">
        <v>480</v>
      </c>
      <c r="G74" s="4"/>
      <c r="H74" s="4" t="s">
        <v>47</v>
      </c>
      <c r="I74" s="8">
        <v>1</v>
      </c>
      <c r="J74" s="4"/>
      <c r="K74" s="8"/>
      <c r="L74" s="4"/>
      <c r="M74" s="8"/>
      <c r="N74" s="4"/>
      <c r="O74" s="8"/>
      <c r="P74" s="8"/>
      <c r="Q74" s="8"/>
      <c r="R74" s="8"/>
      <c r="S74" s="8"/>
      <c r="T74" s="8"/>
      <c r="U74" s="8"/>
      <c r="V74" s="8"/>
      <c r="W74" s="8"/>
      <c r="X74" s="4" t="s">
        <v>423</v>
      </c>
      <c r="Y74" s="8"/>
      <c r="Z74" s="4" t="s">
        <v>476</v>
      </c>
    </row>
    <row r="75" ht="28" customHeight="1" spans="1:26">
      <c r="A75" s="8">
        <v>84</v>
      </c>
      <c r="B75" s="9" t="s">
        <v>481</v>
      </c>
      <c r="C75" s="4" t="s">
        <v>474</v>
      </c>
      <c r="D75" s="4" t="s">
        <v>383</v>
      </c>
      <c r="E75" s="8">
        <v>1</v>
      </c>
      <c r="F75" s="4" t="s">
        <v>482</v>
      </c>
      <c r="G75" s="4"/>
      <c r="H75" s="4" t="s">
        <v>47</v>
      </c>
      <c r="I75" s="8">
        <v>1</v>
      </c>
      <c r="J75" s="4"/>
      <c r="K75" s="8"/>
      <c r="L75" s="4"/>
      <c r="M75" s="8"/>
      <c r="N75" s="4"/>
      <c r="O75" s="8"/>
      <c r="P75" s="8"/>
      <c r="Q75" s="8"/>
      <c r="R75" s="8"/>
      <c r="S75" s="8"/>
      <c r="T75" s="8"/>
      <c r="U75" s="8"/>
      <c r="V75" s="8"/>
      <c r="W75" s="8"/>
      <c r="X75" s="4" t="s">
        <v>423</v>
      </c>
      <c r="Y75" s="8"/>
      <c r="Z75" s="4" t="s">
        <v>476</v>
      </c>
    </row>
    <row r="76" ht="28" customHeight="1" spans="1:26">
      <c r="A76" s="8">
        <v>87</v>
      </c>
      <c r="B76" s="9" t="s">
        <v>483</v>
      </c>
      <c r="C76" s="4" t="s">
        <v>132</v>
      </c>
      <c r="D76" s="4" t="s">
        <v>391</v>
      </c>
      <c r="E76" s="8">
        <v>1</v>
      </c>
      <c r="F76" s="4" t="s">
        <v>484</v>
      </c>
      <c r="G76" s="4" t="s">
        <v>485</v>
      </c>
      <c r="H76" s="4" t="s">
        <v>47</v>
      </c>
      <c r="I76" s="8">
        <v>1</v>
      </c>
      <c r="J76" s="4"/>
      <c r="K76" s="8"/>
      <c r="L76" s="4"/>
      <c r="M76" s="8"/>
      <c r="N76" s="4"/>
      <c r="O76" s="8"/>
      <c r="P76" s="8"/>
      <c r="Q76" s="8"/>
      <c r="R76" s="8"/>
      <c r="S76" s="8"/>
      <c r="T76" s="8"/>
      <c r="U76" s="8"/>
      <c r="V76" s="8"/>
      <c r="W76" s="8"/>
      <c r="X76" s="4" t="s">
        <v>423</v>
      </c>
      <c r="Y76" s="8"/>
      <c r="Z76" s="4" t="s">
        <v>486</v>
      </c>
    </row>
    <row r="77" ht="28" customHeight="1" spans="1:26">
      <c r="A77" s="8">
        <v>95</v>
      </c>
      <c r="B77" s="9" t="s">
        <v>487</v>
      </c>
      <c r="C77" s="4" t="s">
        <v>132</v>
      </c>
      <c r="D77" s="4" t="s">
        <v>391</v>
      </c>
      <c r="E77" s="8">
        <v>1</v>
      </c>
      <c r="F77" s="4" t="s">
        <v>488</v>
      </c>
      <c r="G77" s="4" t="s">
        <v>485</v>
      </c>
      <c r="H77" s="4" t="s">
        <v>47</v>
      </c>
      <c r="I77" s="8">
        <v>1</v>
      </c>
      <c r="J77" s="4"/>
      <c r="K77" s="8"/>
      <c r="L77" s="4"/>
      <c r="M77" s="8"/>
      <c r="N77" s="4"/>
      <c r="O77" s="8"/>
      <c r="P77" s="8"/>
      <c r="Q77" s="8"/>
      <c r="R77" s="8"/>
      <c r="S77" s="8"/>
      <c r="T77" s="8"/>
      <c r="U77" s="8"/>
      <c r="V77" s="8"/>
      <c r="W77" s="8"/>
      <c r="X77" s="4" t="s">
        <v>423</v>
      </c>
      <c r="Y77" s="8"/>
      <c r="Z77" s="4" t="s">
        <v>486</v>
      </c>
    </row>
    <row r="78" ht="28" customHeight="1" spans="1:26">
      <c r="A78" s="8">
        <v>103</v>
      </c>
      <c r="B78" s="9" t="s">
        <v>489</v>
      </c>
      <c r="C78" s="4" t="s">
        <v>132</v>
      </c>
      <c r="D78" s="4" t="s">
        <v>391</v>
      </c>
      <c r="E78" s="8">
        <v>1</v>
      </c>
      <c r="F78" s="4" t="s">
        <v>490</v>
      </c>
      <c r="G78" s="4" t="s">
        <v>485</v>
      </c>
      <c r="H78" s="4" t="s">
        <v>47</v>
      </c>
      <c r="I78" s="8">
        <v>1</v>
      </c>
      <c r="J78" s="4"/>
      <c r="K78" s="8"/>
      <c r="L78" s="4"/>
      <c r="M78" s="8"/>
      <c r="N78" s="4"/>
      <c r="O78" s="8"/>
      <c r="P78" s="8"/>
      <c r="Q78" s="8"/>
      <c r="R78" s="8"/>
      <c r="S78" s="8"/>
      <c r="T78" s="8"/>
      <c r="U78" s="8"/>
      <c r="V78" s="8"/>
      <c r="W78" s="8"/>
      <c r="X78" s="4" t="s">
        <v>423</v>
      </c>
      <c r="Y78" s="8"/>
      <c r="Z78" s="4" t="s">
        <v>491</v>
      </c>
    </row>
    <row r="79" ht="28" customHeight="1" spans="1:26">
      <c r="A79" s="8">
        <v>111</v>
      </c>
      <c r="B79" s="4" t="s">
        <v>321</v>
      </c>
      <c r="C79" s="4" t="s">
        <v>492</v>
      </c>
      <c r="D79" s="4"/>
      <c r="E79" s="8"/>
      <c r="F79" s="4"/>
      <c r="G79" s="4"/>
      <c r="H79" s="4"/>
      <c r="I79" s="8"/>
      <c r="J79" s="4"/>
      <c r="K79" s="8"/>
      <c r="L79" s="4"/>
      <c r="M79" s="8"/>
      <c r="N79" s="4"/>
      <c r="O79" s="8"/>
      <c r="P79" s="8"/>
      <c r="Q79" s="8"/>
      <c r="R79" s="8"/>
      <c r="S79" s="8"/>
      <c r="T79" s="8"/>
      <c r="U79" s="8"/>
      <c r="V79" s="8"/>
      <c r="W79" s="8"/>
      <c r="X79" s="4" t="s">
        <v>330</v>
      </c>
      <c r="Y79" s="8"/>
      <c r="Z79" s="4" t="s">
        <v>493</v>
      </c>
    </row>
    <row r="80" ht="28" customHeight="1" spans="1:26">
      <c r="A80" s="8">
        <v>112</v>
      </c>
      <c r="B80" s="4" t="s">
        <v>341</v>
      </c>
      <c r="C80" s="4" t="s">
        <v>492</v>
      </c>
      <c r="D80" s="4"/>
      <c r="E80" s="8"/>
      <c r="F80" s="4"/>
      <c r="G80" s="4"/>
      <c r="H80" s="4"/>
      <c r="I80" s="8"/>
      <c r="J80" s="4"/>
      <c r="K80" s="8"/>
      <c r="L80" s="4"/>
      <c r="M80" s="8"/>
      <c r="N80" s="4"/>
      <c r="O80" s="8"/>
      <c r="P80" s="8"/>
      <c r="Q80" s="8"/>
      <c r="R80" s="8"/>
      <c r="S80" s="8"/>
      <c r="T80" s="8"/>
      <c r="U80" s="8"/>
      <c r="V80" s="8"/>
      <c r="W80" s="8"/>
      <c r="X80" s="4" t="s">
        <v>330</v>
      </c>
      <c r="Y80" s="8"/>
      <c r="Z80" s="4" t="s">
        <v>494</v>
      </c>
    </row>
    <row r="81" ht="28" customHeight="1" spans="1:26">
      <c r="A81" s="8">
        <v>113</v>
      </c>
      <c r="B81" s="4" t="s">
        <v>397</v>
      </c>
      <c r="C81" s="4" t="s">
        <v>495</v>
      </c>
      <c r="D81" s="4"/>
      <c r="E81" s="8"/>
      <c r="F81" s="4"/>
      <c r="G81" s="4"/>
      <c r="H81" s="4"/>
      <c r="I81" s="8"/>
      <c r="J81" s="4"/>
      <c r="K81" s="8"/>
      <c r="L81" s="4"/>
      <c r="M81" s="8"/>
      <c r="N81" s="4"/>
      <c r="O81" s="8"/>
      <c r="P81" s="8"/>
      <c r="Q81" s="8"/>
      <c r="R81" s="8"/>
      <c r="S81" s="8"/>
      <c r="T81" s="8"/>
      <c r="U81" s="8"/>
      <c r="V81" s="8"/>
      <c r="W81" s="8"/>
      <c r="X81" s="4" t="s">
        <v>330</v>
      </c>
      <c r="Y81" s="8"/>
      <c r="Z81" s="4" t="s">
        <v>496</v>
      </c>
    </row>
    <row r="82" ht="28" customHeight="1" spans="1:26">
      <c r="A82" s="8">
        <v>114</v>
      </c>
      <c r="B82" s="4" t="s">
        <v>430</v>
      </c>
      <c r="C82" s="4" t="s">
        <v>497</v>
      </c>
      <c r="D82" s="4"/>
      <c r="E82" s="8"/>
      <c r="F82" s="4"/>
      <c r="G82" s="4"/>
      <c r="H82" s="4"/>
      <c r="I82" s="8"/>
      <c r="J82" s="4"/>
      <c r="K82" s="8"/>
      <c r="L82" s="4"/>
      <c r="M82" s="8"/>
      <c r="N82" s="4"/>
      <c r="O82" s="8"/>
      <c r="P82" s="8"/>
      <c r="Q82" s="8"/>
      <c r="R82" s="8"/>
      <c r="S82" s="8"/>
      <c r="T82" s="8"/>
      <c r="U82" s="8"/>
      <c r="V82" s="8"/>
      <c r="W82" s="8"/>
      <c r="X82" s="4" t="s">
        <v>330</v>
      </c>
      <c r="Y82" s="8"/>
      <c r="Z82" s="4" t="s">
        <v>498</v>
      </c>
    </row>
    <row r="83" ht="28" customHeight="1" spans="1:26">
      <c r="A83" s="8">
        <v>115</v>
      </c>
      <c r="B83" s="4" t="s">
        <v>371</v>
      </c>
      <c r="C83" s="4"/>
      <c r="D83" s="4"/>
      <c r="E83" s="8"/>
      <c r="F83" s="4"/>
      <c r="G83" s="4"/>
      <c r="H83" s="4"/>
      <c r="I83" s="8"/>
      <c r="J83" s="4"/>
      <c r="K83" s="8"/>
      <c r="L83" s="4"/>
      <c r="M83" s="8"/>
      <c r="N83" s="4"/>
      <c r="O83" s="8"/>
      <c r="P83" s="8"/>
      <c r="Q83" s="8"/>
      <c r="R83" s="8"/>
      <c r="S83" s="8"/>
      <c r="T83" s="8"/>
      <c r="U83" s="8"/>
      <c r="V83" s="8"/>
      <c r="W83" s="8"/>
      <c r="X83" s="4" t="s">
        <v>330</v>
      </c>
      <c r="Y83" s="8"/>
      <c r="Z83" s="4"/>
    </row>
    <row r="84" ht="28" customHeight="1" spans="1:26">
      <c r="A84" s="8">
        <v>116</v>
      </c>
      <c r="B84" s="4" t="s">
        <v>423</v>
      </c>
      <c r="C84" s="4"/>
      <c r="D84" s="4"/>
      <c r="E84" s="8"/>
      <c r="F84" s="4"/>
      <c r="G84" s="4"/>
      <c r="H84" s="4"/>
      <c r="I84" s="8"/>
      <c r="J84" s="4"/>
      <c r="K84" s="8"/>
      <c r="L84" s="4"/>
      <c r="M84" s="8"/>
      <c r="N84" s="4"/>
      <c r="O84" s="8"/>
      <c r="P84" s="8"/>
      <c r="Q84" s="8"/>
      <c r="R84" s="8"/>
      <c r="S84" s="8"/>
      <c r="T84" s="8"/>
      <c r="U84" s="8"/>
      <c r="V84" s="8"/>
      <c r="W84" s="8"/>
      <c r="X84" s="4" t="s">
        <v>330</v>
      </c>
      <c r="Y84" s="8"/>
      <c r="Z84" s="4"/>
    </row>
    <row r="85" ht="25" customHeight="1" spans="1:26">
      <c r="A85" s="14" t="s">
        <v>304</v>
      </c>
      <c r="B85" s="2"/>
      <c r="C85" s="2"/>
      <c r="D85" s="3"/>
      <c r="E85" s="14">
        <f>SUM(E5:E84)</f>
        <v>90</v>
      </c>
      <c r="F85" s="15"/>
      <c r="G85" s="15"/>
      <c r="H85" s="15"/>
      <c r="I85" s="14">
        <f>SUM(I5:I84)</f>
        <v>36</v>
      </c>
      <c r="J85" s="15"/>
      <c r="K85" s="14">
        <f>SUM(K5:K84)</f>
        <v>24</v>
      </c>
      <c r="L85" s="15"/>
      <c r="M85" s="14">
        <f>SUM(M5:M84)</f>
        <v>22</v>
      </c>
      <c r="N85" s="15"/>
      <c r="O85" s="14">
        <f>SUM(O5:O84)</f>
        <v>0</v>
      </c>
      <c r="P85" s="14"/>
      <c r="Q85" s="14">
        <f t="shared" ref="Q85:W85" si="0">SUM(Q5:Q84)</f>
        <v>0</v>
      </c>
      <c r="R85" s="14">
        <f t="shared" si="0"/>
        <v>0</v>
      </c>
      <c r="S85" s="14">
        <f t="shared" si="0"/>
        <v>0</v>
      </c>
      <c r="T85" s="14">
        <f t="shared" si="0"/>
        <v>0</v>
      </c>
      <c r="U85" s="14">
        <f t="shared" si="0"/>
        <v>0</v>
      </c>
      <c r="V85" s="14">
        <f t="shared" si="0"/>
        <v>0</v>
      </c>
      <c r="W85" s="14">
        <f t="shared" si="0"/>
        <v>0</v>
      </c>
      <c r="X85" s="15"/>
      <c r="Y85" s="15"/>
      <c r="Z85" s="15"/>
    </row>
    <row r="86" spans="1:26">
      <c r="A86" s="16" t="s">
        <v>305</v>
      </c>
      <c r="B86" s="17"/>
      <c r="C86" s="18"/>
    </row>
  </sheetData>
  <mergeCells count="25">
    <mergeCell ref="A1:Z1"/>
    <mergeCell ref="A2:Z2"/>
    <mergeCell ref="H3:O3"/>
    <mergeCell ref="Q3:W3"/>
    <mergeCell ref="A85:D85"/>
    <mergeCell ref="A3:A4"/>
    <mergeCell ref="B3:B4"/>
    <mergeCell ref="B5:B22"/>
    <mergeCell ref="B23:B24"/>
    <mergeCell ref="B25:B26"/>
    <mergeCell ref="B27:B36"/>
    <mergeCell ref="B38:B40"/>
    <mergeCell ref="B41:B49"/>
    <mergeCell ref="B50:B53"/>
    <mergeCell ref="B54:B63"/>
    <mergeCell ref="B65:B71"/>
    <mergeCell ref="C3:C4"/>
    <mergeCell ref="D3:D4"/>
    <mergeCell ref="E3:E4"/>
    <mergeCell ref="F3:F4"/>
    <mergeCell ref="G3:G4"/>
    <mergeCell ref="P3:P4"/>
    <mergeCell ref="X3:X4"/>
    <mergeCell ref="Y3:Y4"/>
    <mergeCell ref="Z3:Z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强电回路</vt:lpstr>
      <vt:lpstr>弱电回路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请叫我浩子╱╱</cp:lastModifiedBy>
  <dcterms:created xsi:type="dcterms:W3CDTF">2026-07-31T06:28:00Z</dcterms:created>
  <dcterms:modified xsi:type="dcterms:W3CDTF">2026-08-01T02:27:52Z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6F4D1A1715BD4A148BE09467B614DAC1_12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