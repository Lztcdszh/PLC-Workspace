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932"/>
  </bookViews>
  <sheets>
    <sheet name="HZS150混凝土站强电回路配置清单" sheetId="30" r:id="rId1"/>
    <sheet name="HZS150混凝土站电磁阀、传感器配置清单" sheetId="32" r:id="rId2"/>
  </sheets>
  <definedNames>
    <definedName name="带入__4__得">#REF!</definedName>
    <definedName name="_xlnm._FilterDatabase" localSheetId="0" hidden="1">HZS150混凝土站强电回路配置清单!$A$1:$AE$80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<sst xmlns="http://schemas.openxmlformats.org/spreadsheetml/2006/main" count="1311" uniqueCount="525">
  <si>
    <t>HZS150混凝土站电气设备低压电气列表</t>
  </si>
  <si>
    <t>电缆规格长度</t>
  </si>
  <si>
    <t>开关量DO</t>
  </si>
  <si>
    <t>开关量DI</t>
  </si>
  <si>
    <t>模拟量AI</t>
  </si>
  <si>
    <t>模拟量AO</t>
  </si>
  <si>
    <t>项目</t>
  </si>
  <si>
    <t>具体部件</t>
  </si>
  <si>
    <t>单个功率</t>
  </si>
  <si>
    <t>额定电流</t>
  </si>
  <si>
    <t>数量</t>
  </si>
  <si>
    <t>功率</t>
  </si>
  <si>
    <t>电压</t>
  </si>
  <si>
    <t>启停方式</t>
  </si>
  <si>
    <t>VVR2*1.5²</t>
  </si>
  <si>
    <t>VVR3*16²+1*10</t>
  </si>
  <si>
    <t>VVR3*10²+1*6</t>
  </si>
  <si>
    <t>VVR3*4²+1*2.5</t>
  </si>
  <si>
    <t>VVR3*2.5²+1*1</t>
  </si>
  <si>
    <t>VVR5*1.5²</t>
  </si>
  <si>
    <t>VVR4*1.5²</t>
  </si>
  <si>
    <t>断路器</t>
  </si>
  <si>
    <t>接触器/软启动器</t>
  </si>
  <si>
    <t>中间继电器</t>
  </si>
  <si>
    <t>信号</t>
  </si>
  <si>
    <t>备注</t>
  </si>
  <si>
    <t>总开关</t>
  </si>
  <si>
    <t>QF0</t>
  </si>
  <si>
    <t>630A</t>
  </si>
  <si>
    <t>控制总开关</t>
  </si>
  <si>
    <t>仓底钢结构配料斗</t>
  </si>
  <si>
    <t>砂仓2-#1料仓振动电机</t>
  </si>
  <si>
    <t>振动电机</t>
  </si>
  <si>
    <t>AC 380V</t>
  </si>
  <si>
    <t>接触器</t>
  </si>
  <si>
    <t>QF1</t>
  </si>
  <si>
    <t>电动机断路器</t>
  </si>
  <si>
    <t>KM1</t>
  </si>
  <si>
    <t>KA1</t>
  </si>
  <si>
    <t>启/停</t>
  </si>
  <si>
    <t>故障、运行</t>
  </si>
  <si>
    <t>QF2</t>
  </si>
  <si>
    <t>KM2</t>
  </si>
  <si>
    <t>KA2</t>
  </si>
  <si>
    <t>砂仓2-#2料仓振动电机</t>
  </si>
  <si>
    <t>QF3</t>
  </si>
  <si>
    <t>KM3</t>
  </si>
  <si>
    <t>KA3</t>
  </si>
  <si>
    <t>QF4</t>
  </si>
  <si>
    <t>KM4</t>
  </si>
  <si>
    <t>KA4</t>
  </si>
  <si>
    <t>砂仓1-#1料仓振动电机</t>
  </si>
  <si>
    <t>QF5</t>
  </si>
  <si>
    <t>KM5</t>
  </si>
  <si>
    <t>KA5</t>
  </si>
  <si>
    <t>QF6</t>
  </si>
  <si>
    <t>KM6</t>
  </si>
  <si>
    <t>KA6</t>
  </si>
  <si>
    <t>砂仓1-#2料仓振动电机</t>
  </si>
  <si>
    <t>QF7</t>
  </si>
  <si>
    <t>KM7</t>
  </si>
  <si>
    <t>KA7</t>
  </si>
  <si>
    <t>QF8</t>
  </si>
  <si>
    <t>KM8</t>
  </si>
  <si>
    <t>KA8</t>
  </si>
  <si>
    <t>单斗配料机2</t>
  </si>
  <si>
    <t>砂仓3-#1料仓振动电机</t>
  </si>
  <si>
    <t>QF9</t>
  </si>
  <si>
    <t>KM9</t>
  </si>
  <si>
    <t>KA9</t>
  </si>
  <si>
    <t>预留</t>
  </si>
  <si>
    <t>QF10</t>
  </si>
  <si>
    <t>KM10</t>
  </si>
  <si>
    <t>KA10</t>
  </si>
  <si>
    <t>砂仓3-计量斗振动电机</t>
  </si>
  <si>
    <t>QF11</t>
  </si>
  <si>
    <t>KM11</t>
  </si>
  <si>
    <t>KA11</t>
  </si>
  <si>
    <t>砂石料输送1</t>
  </si>
  <si>
    <t>集料平皮带</t>
  </si>
  <si>
    <t>电机</t>
  </si>
  <si>
    <t>QF12</t>
  </si>
  <si>
    <t>KM12</t>
  </si>
  <si>
    <t>KA12</t>
  </si>
  <si>
    <t>斜皮带</t>
  </si>
  <si>
    <t>接触器（星三角）</t>
  </si>
  <si>
    <t>QF13</t>
  </si>
  <si>
    <t>100A断路器</t>
  </si>
  <si>
    <t xml:space="preserve">KM13-1 KM13-2 KM13-3 FR13 </t>
  </si>
  <si>
    <t>KA13-1 KA13-2 KA13-3</t>
  </si>
  <si>
    <t>跳闸故障、热继电器故障、运行</t>
  </si>
  <si>
    <t>砂石料输送2</t>
  </si>
  <si>
    <t>QF14</t>
  </si>
  <si>
    <t>KM14</t>
  </si>
  <si>
    <t>KA14</t>
  </si>
  <si>
    <t>QF15</t>
  </si>
  <si>
    <t>KM15</t>
  </si>
  <si>
    <t>KA15</t>
  </si>
  <si>
    <t>水洗皮带机</t>
  </si>
  <si>
    <t>水洗皮带机1</t>
  </si>
  <si>
    <t>QF16</t>
  </si>
  <si>
    <t>KM16</t>
  </si>
  <si>
    <t>KA16</t>
  </si>
  <si>
    <t>水洗皮带机2</t>
  </si>
  <si>
    <t>QF17</t>
  </si>
  <si>
    <t>KM17</t>
  </si>
  <si>
    <t>KA17</t>
  </si>
  <si>
    <t>水洗皮带机3</t>
  </si>
  <si>
    <t>QF18</t>
  </si>
  <si>
    <t>KM18</t>
  </si>
  <si>
    <t>KA18</t>
  </si>
  <si>
    <t>水洗设备</t>
  </si>
  <si>
    <t>QF19</t>
  </si>
  <si>
    <t>KM19</t>
  </si>
  <si>
    <t>KA19</t>
  </si>
  <si>
    <t>水洗泵</t>
  </si>
  <si>
    <t>水泵</t>
  </si>
  <si>
    <t>QF20</t>
  </si>
  <si>
    <t>KM20</t>
  </si>
  <si>
    <t>KA20</t>
  </si>
  <si>
    <t>骨料储料斗</t>
  </si>
  <si>
    <t>QF21</t>
  </si>
  <si>
    <t>KM21</t>
  </si>
  <si>
    <t>KA21</t>
  </si>
  <si>
    <t>水泥计量系统</t>
  </si>
  <si>
    <t>水泥计量斗</t>
  </si>
  <si>
    <t>QF22</t>
  </si>
  <si>
    <t>KM22</t>
  </si>
  <si>
    <t>KA22</t>
  </si>
  <si>
    <t>粉煤灰量系统</t>
  </si>
  <si>
    <t>粉煤灰计量斗</t>
  </si>
  <si>
    <t>QF23</t>
  </si>
  <si>
    <t>KM23</t>
  </si>
  <si>
    <t>KA23</t>
  </si>
  <si>
    <t>水供给系统</t>
  </si>
  <si>
    <t>供水泵</t>
  </si>
  <si>
    <t>潜水泵</t>
  </si>
  <si>
    <t>QF24</t>
  </si>
  <si>
    <t>KM24</t>
  </si>
  <si>
    <t>KA24</t>
  </si>
  <si>
    <t>水称量系统</t>
  </si>
  <si>
    <t>一次卸水泵（预搅拌）</t>
  </si>
  <si>
    <t>卸水泵1</t>
  </si>
  <si>
    <t>QF25</t>
  </si>
  <si>
    <t>KM25</t>
  </si>
  <si>
    <t>KA25</t>
  </si>
  <si>
    <t>待定</t>
  </si>
  <si>
    <t>二次卸水泵（主搅拌）</t>
  </si>
  <si>
    <t>卸水泵2</t>
  </si>
  <si>
    <t>QF26</t>
  </si>
  <si>
    <t>KM26</t>
  </si>
  <si>
    <t>KA26</t>
  </si>
  <si>
    <t>外加剂共给系统</t>
  </si>
  <si>
    <t>外加剂1</t>
  </si>
  <si>
    <t>外加剂泵1</t>
  </si>
  <si>
    <t>QF27</t>
  </si>
  <si>
    <t>KM27</t>
  </si>
  <si>
    <t>KA27</t>
  </si>
  <si>
    <t>外加剂2</t>
  </si>
  <si>
    <t>外加剂泵2</t>
  </si>
  <si>
    <t>QF28</t>
  </si>
  <si>
    <t>KM28</t>
  </si>
  <si>
    <t>KA28</t>
  </si>
  <si>
    <t>主楼除尘</t>
  </si>
  <si>
    <t>除尘风机</t>
  </si>
  <si>
    <t>QF29</t>
  </si>
  <si>
    <t>KM29</t>
  </si>
  <si>
    <t>KA29</t>
  </si>
  <si>
    <t>脉冲控制仪</t>
  </si>
  <si>
    <t>AC 220V</t>
  </si>
  <si>
    <t>QF30</t>
  </si>
  <si>
    <t>KM30</t>
  </si>
  <si>
    <t>KA30</t>
  </si>
  <si>
    <t>粉料及净浆投料总成</t>
  </si>
  <si>
    <t>QF31</t>
  </si>
  <si>
    <t>KM31</t>
  </si>
  <si>
    <t>KA31</t>
  </si>
  <si>
    <t>搅拌主机</t>
  </si>
  <si>
    <t>主搅拌电机1</t>
  </si>
  <si>
    <t>QF32</t>
  </si>
  <si>
    <t>KM32-1 KM32-2 KM32-3 FR32</t>
  </si>
  <si>
    <t>KA32-1 KA32-2 KA32-3</t>
  </si>
  <si>
    <t>运行信号串联反馈一个信号</t>
  </si>
  <si>
    <t>主搅拌电机2</t>
  </si>
  <si>
    <t>QF33</t>
  </si>
  <si>
    <t>KM33-1 KM33-2 KM33-3 FR33</t>
  </si>
  <si>
    <t>KA33-1 KA33-2 KA33-3</t>
  </si>
  <si>
    <t>跳闸故障、热继电器故障</t>
  </si>
  <si>
    <t>卸料门液压电机</t>
  </si>
  <si>
    <t>QF34</t>
  </si>
  <si>
    <t>KM34</t>
  </si>
  <si>
    <t>KA34</t>
  </si>
  <si>
    <t>集中润滑油泵电机</t>
  </si>
  <si>
    <t>QF35</t>
  </si>
  <si>
    <t>KM35</t>
  </si>
  <si>
    <t>KA35</t>
  </si>
  <si>
    <t>预搅拌</t>
  </si>
  <si>
    <t>预搅拌主机</t>
  </si>
  <si>
    <t>变频主机</t>
  </si>
  <si>
    <t>星三角</t>
  </si>
  <si>
    <t>QF36</t>
  </si>
  <si>
    <t>BP36</t>
  </si>
  <si>
    <t>KA36</t>
  </si>
  <si>
    <t>备妥、运行、故障</t>
  </si>
  <si>
    <t>电流反馈、频率反馈</t>
  </si>
  <si>
    <t>频率给定</t>
  </si>
  <si>
    <t>散热风扇</t>
  </si>
  <si>
    <t>QF37</t>
  </si>
  <si>
    <t>KM37</t>
  </si>
  <si>
    <t>KA37</t>
  </si>
  <si>
    <t>QF38</t>
  </si>
  <si>
    <t>KM38</t>
  </si>
  <si>
    <t>KA38</t>
  </si>
  <si>
    <t>供气系统</t>
  </si>
  <si>
    <t>空压机（排气量1.5 m3/min）</t>
  </si>
  <si>
    <t>11</t>
  </si>
  <si>
    <t>QF39(供电)</t>
  </si>
  <si>
    <t>KA47，KA48</t>
  </si>
  <si>
    <t>故障</t>
  </si>
  <si>
    <t>冷干机</t>
  </si>
  <si>
    <t>冷干机/干燥机</t>
  </si>
  <si>
    <t>0.85</t>
  </si>
  <si>
    <t>QF40(供电)</t>
  </si>
  <si>
    <t>KA49，KA50</t>
  </si>
  <si>
    <t>水泥1输送</t>
  </si>
  <si>
    <t>母螺旋</t>
  </si>
  <si>
    <t>QF41</t>
  </si>
  <si>
    <t>KM39</t>
  </si>
  <si>
    <t>KA39</t>
  </si>
  <si>
    <t>子螺旋</t>
  </si>
  <si>
    <t>QF42</t>
  </si>
  <si>
    <t>KM40</t>
  </si>
  <si>
    <t>KA40</t>
  </si>
  <si>
    <t>水泥2输送</t>
  </si>
  <si>
    <t>QF43</t>
  </si>
  <si>
    <t>KM41</t>
  </si>
  <si>
    <t>KA41</t>
  </si>
  <si>
    <t>QF44</t>
  </si>
  <si>
    <t>KM42</t>
  </si>
  <si>
    <t>KA42</t>
  </si>
  <si>
    <t>水泥3输送</t>
  </si>
  <si>
    <t>QF45</t>
  </si>
  <si>
    <t>KM43</t>
  </si>
  <si>
    <t>KA43</t>
  </si>
  <si>
    <t>QF46</t>
  </si>
  <si>
    <t>KM44</t>
  </si>
  <si>
    <t>KA44</t>
  </si>
  <si>
    <t>水泥仓1</t>
  </si>
  <si>
    <t>QF47(供电)</t>
  </si>
  <si>
    <t>水泥仓2</t>
  </si>
  <si>
    <t>水泥仓3</t>
  </si>
  <si>
    <t>电铃</t>
  </si>
  <si>
    <t>QF48</t>
  </si>
  <si>
    <t>KM45</t>
  </si>
  <si>
    <t>KA45</t>
  </si>
  <si>
    <t>斜皮带启动预警</t>
  </si>
  <si>
    <t>报警</t>
  </si>
  <si>
    <t>QF49</t>
  </si>
  <si>
    <t>KM46</t>
  </si>
  <si>
    <t>KA46</t>
  </si>
  <si>
    <t>投光灯</t>
  </si>
  <si>
    <t>操作室</t>
  </si>
  <si>
    <t>检修开关</t>
  </si>
  <si>
    <t>QF50</t>
  </si>
  <si>
    <t>室内照明开关</t>
  </si>
  <si>
    <t>QF51</t>
  </si>
  <si>
    <t>室内空调开关</t>
  </si>
  <si>
    <t>QF52</t>
  </si>
  <si>
    <t>室内插座开关</t>
  </si>
  <si>
    <t>QF53</t>
  </si>
  <si>
    <t>视频监控电源</t>
  </si>
  <si>
    <t>QF54</t>
  </si>
  <si>
    <t>UPS开关</t>
  </si>
  <si>
    <t>QF55</t>
  </si>
  <si>
    <t>照明开关</t>
  </si>
  <si>
    <t>室外照明开关</t>
  </si>
  <si>
    <t>QF56</t>
  </si>
  <si>
    <t>料位计开关</t>
  </si>
  <si>
    <t>QF57</t>
  </si>
  <si>
    <t>备用</t>
  </si>
  <si>
    <t>QF58</t>
  </si>
  <si>
    <t>接触器线圈控制电源断路器</t>
  </si>
  <si>
    <t>QF59</t>
  </si>
  <si>
    <t>PLC开关电源断路器</t>
  </si>
  <si>
    <t>QF60</t>
  </si>
  <si>
    <t>24V电源</t>
  </si>
  <si>
    <t>QF61</t>
  </si>
  <si>
    <t>料位计开关电源断路器</t>
  </si>
  <si>
    <t>QF62</t>
  </si>
  <si>
    <t>传感器24V电源</t>
  </si>
  <si>
    <t>QF63</t>
  </si>
  <si>
    <t>中间继电器控制电源断路器</t>
  </si>
  <si>
    <t>QF64</t>
  </si>
  <si>
    <t>现场电磁阀电源</t>
  </si>
  <si>
    <t>QF65</t>
  </si>
  <si>
    <t>合计</t>
  </si>
  <si>
    <t>总功率</t>
  </si>
  <si>
    <t>KW</t>
  </si>
  <si>
    <t>总长度</t>
  </si>
  <si>
    <t>总合计</t>
  </si>
  <si>
    <t>各类型点预留备用20%</t>
  </si>
  <si>
    <t>HZS150混凝土站系统电磁阀、传感器列表</t>
  </si>
  <si>
    <t>分线箱</t>
  </si>
  <si>
    <t>KVVR 27*1</t>
  </si>
  <si>
    <t>KVVR8*1</t>
  </si>
  <si>
    <t>KVVR 4*1</t>
  </si>
  <si>
    <t>KVVR 3*0.75</t>
  </si>
  <si>
    <t>KVVR 2*0.75</t>
  </si>
  <si>
    <t>KVVRP 4*0.5</t>
  </si>
  <si>
    <t>KVVRP 2*1</t>
  </si>
  <si>
    <t>型号</t>
  </si>
  <si>
    <t>仓底钢结构砂石料配料斗</t>
  </si>
  <si>
    <r>
      <rPr>
        <sz val="11"/>
        <color theme="1"/>
        <rFont val="宋体"/>
        <charset val="134"/>
        <scheme val="minor"/>
      </rPr>
      <t>石仓（1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  <scheme val="minor"/>
      </rPr>
      <t>2）#1料仓门</t>
    </r>
  </si>
  <si>
    <t>门控电磁阀</t>
  </si>
  <si>
    <t>筒仓气控箱1</t>
  </si>
  <si>
    <t>KA70/KA71</t>
  </si>
  <si>
    <t>运行反馈信号</t>
  </si>
  <si>
    <r>
      <rPr>
        <sz val="11"/>
        <color theme="1"/>
        <rFont val="宋体"/>
        <charset val="134"/>
        <scheme val="minor"/>
      </rPr>
      <t>石仓（1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  <scheme val="minor"/>
      </rPr>
      <t>2）#1计量斗</t>
    </r>
  </si>
  <si>
    <t>KA72</t>
  </si>
  <si>
    <r>
      <rPr>
        <sz val="11"/>
        <color theme="1"/>
        <rFont val="宋体"/>
        <charset val="134"/>
        <scheme val="minor"/>
      </rPr>
      <t>石仓（1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  <scheme val="minor"/>
      </rPr>
      <t>2）#2料仓门</t>
    </r>
  </si>
  <si>
    <t>KA73/KA74</t>
  </si>
  <si>
    <r>
      <rPr>
        <sz val="11"/>
        <color theme="1"/>
        <rFont val="宋体"/>
        <charset val="134"/>
        <scheme val="minor"/>
      </rPr>
      <t>石仓（1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  <scheme val="minor"/>
      </rPr>
      <t>2）#2计量斗</t>
    </r>
  </si>
  <si>
    <t>KA75</t>
  </si>
  <si>
    <r>
      <rPr>
        <sz val="11"/>
        <color theme="1"/>
        <rFont val="宋体"/>
        <charset val="134"/>
        <scheme val="minor"/>
      </rPr>
      <t>石仓（1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  <scheme val="minor"/>
      </rPr>
      <t>2）#1计量斗传感器</t>
    </r>
  </si>
  <si>
    <t>称重传感器2t</t>
  </si>
  <si>
    <t>/</t>
  </si>
  <si>
    <t>AJB-015</t>
  </si>
  <si>
    <t>称重</t>
  </si>
  <si>
    <r>
      <rPr>
        <sz val="11"/>
        <color theme="1"/>
        <rFont val="宋体"/>
        <charset val="134"/>
        <scheme val="minor"/>
      </rPr>
      <t>石仓（1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  <scheme val="minor"/>
      </rPr>
      <t>2）#2计量斗传感器</t>
    </r>
  </si>
  <si>
    <r>
      <rPr>
        <sz val="11"/>
        <color theme="1"/>
        <rFont val="宋体"/>
        <charset val="134"/>
        <scheme val="minor"/>
      </rPr>
      <t>石仓（0.5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）#1料仓门</t>
    </r>
  </si>
  <si>
    <t>筒仓气控箱2</t>
  </si>
  <si>
    <t>KA76/KA77</t>
  </si>
  <si>
    <r>
      <rPr>
        <sz val="11"/>
        <color theme="1"/>
        <rFont val="宋体"/>
        <charset val="134"/>
        <scheme val="minor"/>
      </rPr>
      <t>石仓（0.5</t>
    </r>
    <r>
      <rPr>
        <sz val="11"/>
        <color theme="1"/>
        <rFont val="Tahoma"/>
        <charset val="134"/>
      </rPr>
      <t>⁓1</t>
    </r>
    <r>
      <rPr>
        <sz val="11"/>
        <color theme="1"/>
        <rFont val="宋体"/>
        <charset val="134"/>
        <scheme val="minor"/>
      </rPr>
      <t>）#1计量斗</t>
    </r>
  </si>
  <si>
    <t>KA78</t>
  </si>
  <si>
    <r>
      <rPr>
        <sz val="11"/>
        <color theme="1"/>
        <rFont val="宋体"/>
        <charset val="134"/>
        <scheme val="minor"/>
      </rPr>
      <t>石仓（0.5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）#2料仓门</t>
    </r>
  </si>
  <si>
    <t>KA79/KA80</t>
  </si>
  <si>
    <r>
      <rPr>
        <sz val="11"/>
        <color theme="1"/>
        <rFont val="宋体"/>
        <charset val="134"/>
        <scheme val="minor"/>
      </rPr>
      <t>石仓（0.5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）#2计量斗</t>
    </r>
  </si>
  <si>
    <t>KA81</t>
  </si>
  <si>
    <r>
      <rPr>
        <sz val="11"/>
        <color theme="1"/>
        <rFont val="宋体"/>
        <charset val="134"/>
        <scheme val="minor"/>
      </rPr>
      <t>石仓（0.5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  <scheme val="minor"/>
      </rPr>
      <t>1）#1计量斗传感器</t>
    </r>
  </si>
  <si>
    <r>
      <rPr>
        <sz val="11"/>
        <color theme="1"/>
        <rFont val="宋体"/>
        <charset val="134"/>
        <scheme val="minor"/>
      </rPr>
      <t>石仓（0.5</t>
    </r>
    <r>
      <rPr>
        <sz val="11"/>
        <color theme="1"/>
        <rFont val="Tahoma"/>
        <charset val="134"/>
      </rPr>
      <t>⁓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）#2计量斗传感器</t>
    </r>
  </si>
  <si>
    <t>砂仓2-#1料仓门</t>
  </si>
  <si>
    <t>筒仓气控箱3</t>
  </si>
  <si>
    <t>KA82/KA83</t>
  </si>
  <si>
    <r>
      <rPr>
        <sz val="11"/>
        <color theme="1"/>
        <rFont val="宋体"/>
        <charset val="134"/>
        <scheme val="minor"/>
      </rPr>
      <t>砂仓2-</t>
    </r>
    <r>
      <rPr>
        <sz val="11"/>
        <color theme="1"/>
        <rFont val="宋体"/>
        <charset val="134"/>
        <scheme val="minor"/>
      </rPr>
      <t>#1计量斗</t>
    </r>
  </si>
  <si>
    <t>KA84</t>
  </si>
  <si>
    <t>砂仓2-#2料仓门</t>
  </si>
  <si>
    <t>KA85/KA86</t>
  </si>
  <si>
    <t>砂仓2-#2计量斗</t>
  </si>
  <si>
    <t>KA87</t>
  </si>
  <si>
    <t>砂仓2-#1计量斗传感器</t>
  </si>
  <si>
    <r>
      <rPr>
        <sz val="11"/>
        <color theme="1"/>
        <rFont val="宋体"/>
        <charset val="134"/>
        <scheme val="minor"/>
      </rPr>
      <t>称重传感器</t>
    </r>
    <r>
      <rPr>
        <sz val="11"/>
        <color rgb="FFFF0000"/>
        <rFont val="宋体"/>
        <charset val="134"/>
        <scheme val="minor"/>
      </rPr>
      <t>2t</t>
    </r>
  </si>
  <si>
    <t>砂仓2-#2计量斗传感器</t>
  </si>
  <si>
    <t>砂仓1-#1料仓门</t>
  </si>
  <si>
    <t>筒仓气控箱4</t>
  </si>
  <si>
    <t>KA88/KA89</t>
  </si>
  <si>
    <r>
      <rPr>
        <sz val="11"/>
        <color theme="1"/>
        <rFont val="宋体"/>
        <charset val="134"/>
        <scheme val="minor"/>
      </rPr>
      <t>砂仓1-</t>
    </r>
    <r>
      <rPr>
        <sz val="11"/>
        <color theme="1"/>
        <rFont val="宋体"/>
        <charset val="134"/>
        <scheme val="minor"/>
      </rPr>
      <t>#1计量斗</t>
    </r>
  </si>
  <si>
    <t>KA90</t>
  </si>
  <si>
    <t>砂仓1-#2料仓门</t>
  </si>
  <si>
    <t>KA91/KA92</t>
  </si>
  <si>
    <t>砂仓1-#2计量斗</t>
  </si>
  <si>
    <t>KA93</t>
  </si>
  <si>
    <t>砂仓1-#1计量斗传感器</t>
  </si>
  <si>
    <t>砂仓1-#2计量斗传感器</t>
  </si>
  <si>
    <t>储料筒仓</t>
  </si>
  <si>
    <t>空气炮</t>
  </si>
  <si>
    <t>破拱空气炮1</t>
  </si>
  <si>
    <t>料仓分线盒</t>
  </si>
  <si>
    <t>反馈</t>
  </si>
  <si>
    <t>破拱空气炮2</t>
  </si>
  <si>
    <t>KA32</t>
  </si>
  <si>
    <t>破拱空气炮3</t>
  </si>
  <si>
    <t>KA33</t>
  </si>
  <si>
    <t>破拱空气炮4</t>
  </si>
  <si>
    <t>单斗配料机</t>
  </si>
  <si>
    <t>砂仓3-#1料仓门</t>
  </si>
  <si>
    <t>骨料斗气控箱</t>
  </si>
  <si>
    <t>KA94</t>
  </si>
  <si>
    <t>粗计量</t>
  </si>
  <si>
    <t>砂仓3-#2料仓门</t>
  </si>
  <si>
    <t>KA95</t>
  </si>
  <si>
    <t>精计量</t>
  </si>
  <si>
    <t>砂仓3-#1计量斗</t>
  </si>
  <si>
    <t>KA96</t>
  </si>
  <si>
    <t>砂仓3-#1计量斗传感器</t>
  </si>
  <si>
    <t>砂仓3-#2计量斗传感器</t>
  </si>
  <si>
    <t>集料平皮带电流信号4-20ma</t>
  </si>
  <si>
    <t>电流互感器</t>
  </si>
  <si>
    <t>T1</t>
  </si>
  <si>
    <t>4-20ma</t>
  </si>
  <si>
    <t>拉绳开关1</t>
  </si>
  <si>
    <t>拉绳急停开关</t>
  </si>
  <si>
    <t>KA98</t>
  </si>
  <si>
    <t>急停</t>
  </si>
  <si>
    <t>拉绳开关2</t>
  </si>
  <si>
    <t>KA99</t>
  </si>
  <si>
    <t>斜皮带电流信号4-20ma</t>
  </si>
  <si>
    <t>T2</t>
  </si>
  <si>
    <t>拉绳急停开关1</t>
  </si>
  <si>
    <t>KA100</t>
  </si>
  <si>
    <t>拉绳急停开关2</t>
  </si>
  <si>
    <t>KA101</t>
  </si>
  <si>
    <t>集料皮带电流信号4-20ma</t>
  </si>
  <si>
    <t>T3</t>
  </si>
  <si>
    <t>拉绳开关</t>
  </si>
  <si>
    <t>KA102</t>
  </si>
  <si>
    <t>T4</t>
  </si>
  <si>
    <t>KA103</t>
  </si>
  <si>
    <t>T5</t>
  </si>
  <si>
    <t>KA104</t>
  </si>
  <si>
    <t>T6</t>
  </si>
  <si>
    <t>KA105</t>
  </si>
  <si>
    <t>T7</t>
  </si>
  <si>
    <t>KA106</t>
  </si>
  <si>
    <t>KA107</t>
  </si>
  <si>
    <t>KA108</t>
  </si>
  <si>
    <t>溜管分料器</t>
  </si>
  <si>
    <t>分料气缸</t>
  </si>
  <si>
    <t>电磁阀</t>
  </si>
  <si>
    <t>单阀</t>
  </si>
  <si>
    <t>KA109</t>
  </si>
  <si>
    <t>位置检测</t>
  </si>
  <si>
    <t>位置信号开</t>
  </si>
  <si>
    <t>开位置</t>
  </si>
  <si>
    <t>位置信号关</t>
  </si>
  <si>
    <t>关位置</t>
  </si>
  <si>
    <t>卸料门电磁阀</t>
  </si>
  <si>
    <t>预拌层气控箱</t>
  </si>
  <si>
    <t>KA110</t>
  </si>
  <si>
    <t>开关门位置检测</t>
  </si>
  <si>
    <t>欧姆龙E2B-M18KN10-M1-B1 PNP 三线</t>
  </si>
  <si>
    <t>搅拌层分线箱</t>
  </si>
  <si>
    <t>开位置/关位置</t>
  </si>
  <si>
    <t>卸料蝶阀（DN250）</t>
  </si>
  <si>
    <t>卸料蝶阀</t>
  </si>
  <si>
    <t>KA111</t>
  </si>
  <si>
    <t>蝶阀自带三线</t>
  </si>
  <si>
    <t>计量层分线箱</t>
  </si>
  <si>
    <t>开/关位置</t>
  </si>
  <si>
    <t>水泥计量斗称重传感器</t>
  </si>
  <si>
    <t>称重传感器Xt</t>
  </si>
  <si>
    <t>粉煤灰计量系统</t>
  </si>
  <si>
    <t>KA112</t>
  </si>
  <si>
    <t>粉煤灰计量斗称重传感器</t>
  </si>
  <si>
    <t>上水蝶阀</t>
  </si>
  <si>
    <t>计量层气控箱</t>
  </si>
  <si>
    <t>KA113</t>
  </si>
  <si>
    <t>卸料蝶阀 (DN150)</t>
  </si>
  <si>
    <t>KA114</t>
  </si>
  <si>
    <t>水精计量球阀</t>
  </si>
  <si>
    <t>精计量球阀</t>
  </si>
  <si>
    <t>KA115</t>
  </si>
  <si>
    <t>水计量斗称重传感器</t>
  </si>
  <si>
    <t>外加剂1称量系统</t>
  </si>
  <si>
    <t>卸料蝶阀（DN50）</t>
  </si>
  <si>
    <t>KA116</t>
  </si>
  <si>
    <t>外加剂1精计量球阀</t>
  </si>
  <si>
    <t>KA117</t>
  </si>
  <si>
    <t>外加剂1计量斗称重传感器</t>
  </si>
  <si>
    <t>拉式传感器200KG</t>
  </si>
  <si>
    <t>粉料及净浆投料总成（料斗+气动三通分料器）</t>
  </si>
  <si>
    <t>粉料三通分料器</t>
  </si>
  <si>
    <t>KA120</t>
  </si>
  <si>
    <t>粉料三通位置检测</t>
  </si>
  <si>
    <t>位置反馈开三线</t>
  </si>
  <si>
    <t>位置反馈关三线</t>
  </si>
  <si>
    <t>卸水系统</t>
  </si>
  <si>
    <t>卸水三通蝶阀</t>
  </si>
  <si>
    <t>气动蝶阀</t>
  </si>
  <si>
    <t>KA121</t>
  </si>
  <si>
    <t>卸水三通蝶阀开关门</t>
  </si>
  <si>
    <t>卸水开关门三线</t>
  </si>
  <si>
    <t>搅拌主机电流信号 4-20ma</t>
  </si>
  <si>
    <t>T8</t>
  </si>
  <si>
    <t>T9</t>
  </si>
  <si>
    <t>现场急停</t>
  </si>
  <si>
    <t>急停开关两线</t>
  </si>
  <si>
    <t>检修门检测开关行程开关</t>
  </si>
  <si>
    <t>行程开关两线</t>
  </si>
  <si>
    <t>检修门</t>
  </si>
  <si>
    <t>卸料液压电磁阀</t>
  </si>
  <si>
    <t>电磁阀开两线</t>
  </si>
  <si>
    <t>KA123</t>
  </si>
  <si>
    <t>电磁阀关两线</t>
  </si>
  <si>
    <t>KA124</t>
  </si>
  <si>
    <t>卸料门限位开关</t>
  </si>
  <si>
    <t>关位置/半开/全开</t>
  </si>
  <si>
    <t>预搅拌机</t>
  </si>
  <si>
    <t>电流互感器/变频</t>
  </si>
  <si>
    <t>T10</t>
  </si>
  <si>
    <t>卸料门开两线</t>
  </si>
  <si>
    <t>KA125</t>
  </si>
  <si>
    <t>卸料门关两线</t>
  </si>
  <si>
    <t>KA126</t>
  </si>
  <si>
    <t>主搅拌卸料分料器</t>
  </si>
  <si>
    <t>分料器</t>
  </si>
  <si>
    <t>分料器电磁阀</t>
  </si>
  <si>
    <t>位置信号反馈</t>
  </si>
  <si>
    <t>左位置PNP 三线</t>
  </si>
  <si>
    <t>右位置PNP 三线</t>
  </si>
  <si>
    <t>鱼雷罐位置</t>
  </si>
  <si>
    <t>1号鱼雷罐接近开关</t>
  </si>
  <si>
    <t>2号鱼雷罐接近开关</t>
  </si>
  <si>
    <t>压力传感器</t>
  </si>
  <si>
    <t>压力信号</t>
  </si>
  <si>
    <t>气拱</t>
  </si>
  <si>
    <t>破拱电磁阀</t>
  </si>
  <si>
    <t>KA128</t>
  </si>
  <si>
    <t>料位低</t>
  </si>
  <si>
    <t>料位传感器pnp</t>
  </si>
  <si>
    <t>低位</t>
  </si>
  <si>
    <t>料位高</t>
  </si>
  <si>
    <t>高位</t>
  </si>
  <si>
    <t>水泥输送1</t>
  </si>
  <si>
    <t>螺旋电流</t>
  </si>
  <si>
    <t>T11</t>
  </si>
  <si>
    <t>KA129</t>
  </si>
  <si>
    <t>水泥输送2</t>
  </si>
  <si>
    <t>T12</t>
  </si>
  <si>
    <t>KA130</t>
  </si>
  <si>
    <t>水泥输送3</t>
  </si>
  <si>
    <t>T13</t>
  </si>
  <si>
    <t>6阀</t>
  </si>
  <si>
    <t>7阀</t>
  </si>
  <si>
    <t>3阀</t>
  </si>
  <si>
    <t>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</si>
</sst>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7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9" tint="-0.249977111117893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Tahoma"/>
      <charset val="134"/>
    </font>
    <font>
      <sz val="11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13" borderId="14" applyNumberFormat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25" fillId="14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9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0" fillId="0" borderId="2" xfId="0" applyFont="1" applyBorder="1">
      <alignment vertical="center"/>
    </xf>
    <xf numFmtId="0" fontId="0" fillId="0" borderId="2" xfId="0" applyBorder="1">
      <alignment vertical="center"/>
    </xf>
    <xf numFmtId="0" fontId="9" fillId="10" borderId="0" xfId="0" applyFont="1" applyFill="1" applyAlignment="1">
      <alignment horizontal="center" vertical="center" wrapText="1"/>
    </xf>
    <xf numFmtId="176" fontId="9" fillId="10" borderId="0" xfId="0" applyNumberFormat="1" applyFont="1" applyFill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176" fontId="9" fillId="1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84" xfId="49"/>
    <cellStyle name="常规 2" xfId="50"/>
    <cellStyle name="常规 2 2" xfId="51"/>
    <cellStyle name="常规 3" xfId="52"/>
    <cellStyle name="常规 3 2" xfId="53"/>
    <cellStyle name="常规 3 3" xfId="54"/>
    <cellStyle name="常规 4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3"/>
  <sheetViews>
    <sheetView tabSelected="1" zoomScale="85" zoomScaleNormal="85" workbookViewId="0">
      <pane ySplit="3" topLeftCell="A11" activePane="bottomLeft" state="frozen"/>
      <selection/>
      <selection pane="bottomLeft" activeCell="K18" sqref="K18"/>
    </sheetView>
  </sheetViews>
  <sheetFormatPr defaultColWidth="9" defaultRowHeight="13.5"/>
  <cols>
    <col min="4" max="4" width="7.94166666666667" customWidth="1"/>
    <col min="5" max="5" width="6.625" customWidth="1"/>
    <col min="6" max="6" width="6.46666666666667" customWidth="1"/>
    <col min="7" max="7" width="6.025" customWidth="1"/>
    <col min="8" max="8" width="6.175" customWidth="1"/>
    <col min="9" max="9" width="8.81666666666667" customWidth="1"/>
    <col min="10" max="10" width="7.64166666666667" customWidth="1"/>
    <col min="11" max="11" width="7.79166666666667" customWidth="1"/>
    <col min="12" max="12" width="9.55" customWidth="1"/>
    <col min="13" max="13" width="7.05833333333333" customWidth="1"/>
    <col min="14" max="14" width="8.08333333333333" customWidth="1"/>
    <col min="15" max="16" width="9.11666666666667" customWidth="1"/>
    <col min="17" max="17" width="16.5" customWidth="1"/>
    <col min="20" max="20" width="6.25" customWidth="1"/>
    <col min="22" max="22" width="5.375" customWidth="1"/>
  </cols>
  <sheetData>
    <row r="1" ht="27" spans="1:3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27" spans="1:31">
      <c r="A2" s="68"/>
      <c r="B2" s="68"/>
      <c r="C2" s="68"/>
      <c r="D2" s="68"/>
      <c r="E2" s="68"/>
      <c r="F2" s="68"/>
      <c r="G2" s="68"/>
      <c r="H2" s="68"/>
      <c r="I2" s="68"/>
      <c r="J2" s="76" t="s">
        <v>1</v>
      </c>
      <c r="K2" s="77"/>
      <c r="L2" s="77"/>
      <c r="M2" s="77"/>
      <c r="N2" s="77"/>
      <c r="O2" s="77"/>
      <c r="P2" s="77"/>
      <c r="Q2" s="68"/>
      <c r="R2" s="78"/>
      <c r="S2" s="78"/>
      <c r="T2" s="79"/>
      <c r="U2" s="78"/>
      <c r="V2" s="79"/>
      <c r="W2" s="42" t="s">
        <v>2</v>
      </c>
      <c r="X2" s="42"/>
      <c r="Y2" s="85" t="s">
        <v>3</v>
      </c>
      <c r="Z2" s="85"/>
      <c r="AA2" s="32" t="s">
        <v>4</v>
      </c>
      <c r="AB2" s="32"/>
      <c r="AC2" s="32" t="s">
        <v>5</v>
      </c>
      <c r="AD2" s="32"/>
      <c r="AE2" s="6"/>
    </row>
    <row r="3" ht="40.5" spans="1:31">
      <c r="A3" s="4" t="s">
        <v>6</v>
      </c>
      <c r="B3" s="4" t="s">
        <v>7</v>
      </c>
      <c r="C3" s="4"/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11" t="s">
        <v>14</v>
      </c>
      <c r="K3" s="33" t="s">
        <v>15</v>
      </c>
      <c r="L3" s="33" t="s">
        <v>16</v>
      </c>
      <c r="M3" s="33" t="s">
        <v>17</v>
      </c>
      <c r="N3" s="33" t="s">
        <v>18</v>
      </c>
      <c r="O3" s="11" t="s">
        <v>19</v>
      </c>
      <c r="P3" s="11" t="s">
        <v>20</v>
      </c>
      <c r="Q3" s="71" t="s">
        <v>21</v>
      </c>
      <c r="R3" s="71"/>
      <c r="S3" s="71" t="s">
        <v>22</v>
      </c>
      <c r="T3" s="71"/>
      <c r="U3" s="71" t="s">
        <v>23</v>
      </c>
      <c r="V3" s="71"/>
      <c r="W3" s="32" t="s">
        <v>24</v>
      </c>
      <c r="X3" s="32" t="s">
        <v>10</v>
      </c>
      <c r="Y3" s="32" t="s">
        <v>24</v>
      </c>
      <c r="Z3" s="32" t="s">
        <v>10</v>
      </c>
      <c r="AA3" s="32" t="s">
        <v>24</v>
      </c>
      <c r="AB3" s="32" t="s">
        <v>10</v>
      </c>
      <c r="AC3" s="32" t="s">
        <v>24</v>
      </c>
      <c r="AD3" s="32" t="s">
        <v>10</v>
      </c>
      <c r="AE3" s="42" t="s">
        <v>25</v>
      </c>
    </row>
    <row r="4" ht="29.25" customHeight="1" spans="1:31">
      <c r="A4" s="11" t="s">
        <v>26</v>
      </c>
      <c r="B4" s="69"/>
      <c r="C4" s="70"/>
      <c r="D4" s="4"/>
      <c r="E4" s="71"/>
      <c r="F4" s="4"/>
      <c r="G4" s="4"/>
      <c r="H4" s="4"/>
      <c r="I4" s="4"/>
      <c r="J4" s="11"/>
      <c r="K4" s="11"/>
      <c r="L4" s="11"/>
      <c r="M4" s="11"/>
      <c r="N4" s="11"/>
      <c r="O4" s="11"/>
      <c r="P4" s="11"/>
      <c r="Q4" s="71" t="s">
        <v>27</v>
      </c>
      <c r="R4" s="71" t="s">
        <v>28</v>
      </c>
      <c r="S4" s="71"/>
      <c r="T4" s="80"/>
      <c r="U4" s="71"/>
      <c r="V4" s="80"/>
      <c r="W4" s="80"/>
      <c r="X4" s="80"/>
      <c r="Y4" s="80"/>
      <c r="Z4" s="80"/>
      <c r="AA4" s="80"/>
      <c r="AB4" s="80"/>
      <c r="AC4" s="80"/>
      <c r="AD4" s="80"/>
      <c r="AE4" s="6"/>
    </row>
    <row r="5" ht="30" customHeight="1" spans="1:31">
      <c r="A5" s="11" t="s">
        <v>29</v>
      </c>
      <c r="B5" s="69"/>
      <c r="C5" s="70"/>
      <c r="D5" s="4"/>
      <c r="E5" s="71"/>
      <c r="F5" s="4"/>
      <c r="G5" s="4"/>
      <c r="H5" s="4"/>
      <c r="I5" s="4"/>
      <c r="J5" s="11"/>
      <c r="K5" s="11"/>
      <c r="L5" s="11"/>
      <c r="M5" s="11"/>
      <c r="N5" s="11"/>
      <c r="O5" s="11"/>
      <c r="P5" s="11"/>
      <c r="Q5" s="71"/>
      <c r="R5" s="71"/>
      <c r="S5" s="71"/>
      <c r="T5" s="80"/>
      <c r="U5" s="71"/>
      <c r="V5" s="80"/>
      <c r="W5" s="80"/>
      <c r="X5" s="80"/>
      <c r="Y5" s="80"/>
      <c r="Z5" s="80"/>
      <c r="AA5" s="80"/>
      <c r="AB5" s="80"/>
      <c r="AC5" s="80"/>
      <c r="AD5" s="80"/>
      <c r="AE5" s="6"/>
    </row>
    <row r="6" ht="30" customHeight="1" spans="1:31">
      <c r="A6" s="7" t="s">
        <v>30</v>
      </c>
      <c r="B6" s="72" t="s">
        <v>31</v>
      </c>
      <c r="C6" s="11" t="s">
        <v>32</v>
      </c>
      <c r="D6" s="9">
        <v>0.04</v>
      </c>
      <c r="E6" s="9">
        <v>0.25</v>
      </c>
      <c r="F6" s="9">
        <v>1</v>
      </c>
      <c r="G6" s="11">
        <f t="shared" ref="G6" si="0">D6*F6</f>
        <v>0.04</v>
      </c>
      <c r="H6" s="11" t="s">
        <v>33</v>
      </c>
      <c r="I6" s="11" t="s">
        <v>34</v>
      </c>
      <c r="J6" s="11"/>
      <c r="K6" s="11"/>
      <c r="L6" s="11"/>
      <c r="M6" s="11"/>
      <c r="N6" s="11"/>
      <c r="O6" s="11"/>
      <c r="P6" s="11">
        <v>170</v>
      </c>
      <c r="Q6" s="71" t="s">
        <v>35</v>
      </c>
      <c r="R6" s="11" t="s">
        <v>36</v>
      </c>
      <c r="S6" s="11" t="s">
        <v>37</v>
      </c>
      <c r="T6" s="34"/>
      <c r="U6" s="18" t="s">
        <v>38</v>
      </c>
      <c r="V6" s="16"/>
      <c r="W6" s="34" t="s">
        <v>39</v>
      </c>
      <c r="X6" s="9">
        <v>1</v>
      </c>
      <c r="Y6" s="86" t="s">
        <v>40</v>
      </c>
      <c r="Z6" s="9">
        <v>2</v>
      </c>
      <c r="AA6" s="80"/>
      <c r="AB6" s="32">
        <v>0</v>
      </c>
      <c r="AC6" s="80"/>
      <c r="AD6" s="32">
        <v>0</v>
      </c>
      <c r="AE6" s="6"/>
    </row>
    <row r="7" ht="40.5" customHeight="1" spans="1:31">
      <c r="A7" s="12"/>
      <c r="B7" s="73"/>
      <c r="C7" s="11" t="s">
        <v>32</v>
      </c>
      <c r="D7" s="9">
        <v>0.04</v>
      </c>
      <c r="E7" s="9">
        <v>0.25</v>
      </c>
      <c r="F7" s="9">
        <v>1</v>
      </c>
      <c r="G7" s="11">
        <f t="shared" ref="G7:G35" si="1">D7*F7</f>
        <v>0.04</v>
      </c>
      <c r="H7" s="11" t="s">
        <v>33</v>
      </c>
      <c r="I7" s="11" t="s">
        <v>34</v>
      </c>
      <c r="J7" s="11"/>
      <c r="K7" s="11"/>
      <c r="L7" s="11"/>
      <c r="M7" s="11"/>
      <c r="N7" s="11"/>
      <c r="O7" s="11"/>
      <c r="P7" s="11">
        <v>173</v>
      </c>
      <c r="Q7" s="71" t="s">
        <v>41</v>
      </c>
      <c r="R7" s="11" t="s">
        <v>36</v>
      </c>
      <c r="S7" s="11" t="s">
        <v>42</v>
      </c>
      <c r="T7" s="34"/>
      <c r="U7" s="18" t="s">
        <v>43</v>
      </c>
      <c r="V7" s="16"/>
      <c r="W7" s="34" t="s">
        <v>39</v>
      </c>
      <c r="X7" s="9">
        <v>1</v>
      </c>
      <c r="Y7" s="86" t="s">
        <v>40</v>
      </c>
      <c r="Z7" s="9">
        <v>2</v>
      </c>
      <c r="AA7" s="16"/>
      <c r="AB7" s="9">
        <v>0</v>
      </c>
      <c r="AC7" s="16"/>
      <c r="AD7" s="9">
        <v>0</v>
      </c>
      <c r="AE7" s="6"/>
    </row>
    <row r="8" ht="40.5" customHeight="1" spans="1:31">
      <c r="A8" s="12"/>
      <c r="B8" s="7" t="s">
        <v>44</v>
      </c>
      <c r="C8" s="11" t="s">
        <v>32</v>
      </c>
      <c r="D8" s="9">
        <v>0.04</v>
      </c>
      <c r="E8" s="9">
        <v>0.25</v>
      </c>
      <c r="F8" s="9">
        <v>1</v>
      </c>
      <c r="G8" s="11">
        <f t="shared" ref="G8" si="2">D8*F8</f>
        <v>0.04</v>
      </c>
      <c r="H8" s="11" t="s">
        <v>33</v>
      </c>
      <c r="I8" s="11" t="s">
        <v>34</v>
      </c>
      <c r="J8" s="11"/>
      <c r="K8" s="11"/>
      <c r="L8" s="11"/>
      <c r="M8" s="11"/>
      <c r="N8" s="11"/>
      <c r="O8" s="11"/>
      <c r="P8" s="11">
        <v>163</v>
      </c>
      <c r="Q8" s="71" t="s">
        <v>45</v>
      </c>
      <c r="R8" s="11" t="s">
        <v>36</v>
      </c>
      <c r="S8" s="11" t="s">
        <v>46</v>
      </c>
      <c r="T8" s="34"/>
      <c r="U8" s="18" t="s">
        <v>47</v>
      </c>
      <c r="V8" s="16"/>
      <c r="W8" s="34" t="s">
        <v>39</v>
      </c>
      <c r="X8" s="9">
        <v>1</v>
      </c>
      <c r="Y8" s="86" t="s">
        <v>40</v>
      </c>
      <c r="Z8" s="9">
        <v>2</v>
      </c>
      <c r="AA8" s="16"/>
      <c r="AB8" s="9">
        <v>0</v>
      </c>
      <c r="AC8" s="16"/>
      <c r="AD8" s="9">
        <v>0</v>
      </c>
      <c r="AE8" s="6"/>
    </row>
    <row r="9" ht="40.5" customHeight="1" spans="1:31">
      <c r="A9" s="12"/>
      <c r="B9" s="18"/>
      <c r="C9" s="11" t="s">
        <v>32</v>
      </c>
      <c r="D9" s="9">
        <v>0.04</v>
      </c>
      <c r="E9" s="9">
        <v>0.25</v>
      </c>
      <c r="F9" s="9">
        <v>1</v>
      </c>
      <c r="G9" s="11">
        <f t="shared" si="1"/>
        <v>0.04</v>
      </c>
      <c r="H9" s="11" t="s">
        <v>33</v>
      </c>
      <c r="I9" s="11" t="s">
        <v>34</v>
      </c>
      <c r="J9" s="11"/>
      <c r="K9" s="11"/>
      <c r="L9" s="11"/>
      <c r="M9" s="11"/>
      <c r="N9" s="11"/>
      <c r="O9" s="11"/>
      <c r="P9" s="11">
        <v>156</v>
      </c>
      <c r="Q9" s="71" t="s">
        <v>48</v>
      </c>
      <c r="R9" s="11" t="s">
        <v>36</v>
      </c>
      <c r="S9" s="11" t="s">
        <v>49</v>
      </c>
      <c r="T9" s="34"/>
      <c r="U9" s="18" t="s">
        <v>50</v>
      </c>
      <c r="V9" s="16"/>
      <c r="W9" s="34" t="s">
        <v>39</v>
      </c>
      <c r="X9" s="9">
        <v>1</v>
      </c>
      <c r="Y9" s="86" t="s">
        <v>40</v>
      </c>
      <c r="Z9" s="9">
        <v>2</v>
      </c>
      <c r="AA9" s="16"/>
      <c r="AB9" s="9">
        <v>0</v>
      </c>
      <c r="AC9" s="16"/>
      <c r="AD9" s="9">
        <v>0</v>
      </c>
      <c r="AE9" s="6"/>
    </row>
    <row r="10" ht="40.5" customHeight="1" spans="1:31">
      <c r="A10" s="12"/>
      <c r="B10" s="7" t="s">
        <v>51</v>
      </c>
      <c r="C10" s="11" t="s">
        <v>32</v>
      </c>
      <c r="D10" s="9">
        <v>0.04</v>
      </c>
      <c r="E10" s="9">
        <v>0.25</v>
      </c>
      <c r="F10" s="9">
        <v>1</v>
      </c>
      <c r="G10" s="11">
        <f t="shared" si="1"/>
        <v>0.04</v>
      </c>
      <c r="H10" s="11" t="s">
        <v>33</v>
      </c>
      <c r="I10" s="11" t="s">
        <v>34</v>
      </c>
      <c r="J10" s="11"/>
      <c r="K10" s="11"/>
      <c r="L10" s="11"/>
      <c r="M10" s="11"/>
      <c r="N10" s="11"/>
      <c r="O10" s="11"/>
      <c r="P10" s="11">
        <v>146</v>
      </c>
      <c r="Q10" s="71" t="s">
        <v>52</v>
      </c>
      <c r="R10" s="11" t="s">
        <v>36</v>
      </c>
      <c r="S10" s="11" t="s">
        <v>53</v>
      </c>
      <c r="T10" s="34"/>
      <c r="U10" s="18" t="s">
        <v>54</v>
      </c>
      <c r="V10" s="16"/>
      <c r="W10" s="34" t="s">
        <v>39</v>
      </c>
      <c r="X10" s="9">
        <v>1</v>
      </c>
      <c r="Y10" s="86" t="s">
        <v>40</v>
      </c>
      <c r="Z10" s="9">
        <v>2</v>
      </c>
      <c r="AA10" s="16"/>
      <c r="AB10" s="9">
        <v>0</v>
      </c>
      <c r="AC10" s="16"/>
      <c r="AD10" s="9">
        <v>0</v>
      </c>
      <c r="AE10" s="6"/>
    </row>
    <row r="11" ht="40.5" customHeight="1" spans="1:31">
      <c r="A11" s="12"/>
      <c r="B11" s="18"/>
      <c r="C11" s="11" t="s">
        <v>32</v>
      </c>
      <c r="D11" s="9">
        <v>0.04</v>
      </c>
      <c r="E11" s="9">
        <v>0.25</v>
      </c>
      <c r="F11" s="9">
        <v>1</v>
      </c>
      <c r="G11" s="11">
        <f t="shared" ref="G11:G14" si="3">D11*F11</f>
        <v>0.04</v>
      </c>
      <c r="H11" s="11" t="s">
        <v>33</v>
      </c>
      <c r="I11" s="11" t="s">
        <v>34</v>
      </c>
      <c r="J11" s="11"/>
      <c r="K11" s="11"/>
      <c r="L11" s="11"/>
      <c r="M11" s="11"/>
      <c r="N11" s="11"/>
      <c r="O11" s="11"/>
      <c r="P11" s="11">
        <v>139</v>
      </c>
      <c r="Q11" s="71" t="s">
        <v>55</v>
      </c>
      <c r="R11" s="11" t="s">
        <v>36</v>
      </c>
      <c r="S11" s="11" t="s">
        <v>56</v>
      </c>
      <c r="T11" s="34"/>
      <c r="U11" s="18" t="s">
        <v>57</v>
      </c>
      <c r="V11" s="16"/>
      <c r="W11" s="34" t="s">
        <v>39</v>
      </c>
      <c r="X11" s="9">
        <v>1</v>
      </c>
      <c r="Y11" s="86" t="s">
        <v>40</v>
      </c>
      <c r="Z11" s="9">
        <v>2</v>
      </c>
      <c r="AA11" s="16"/>
      <c r="AB11" s="9">
        <v>0</v>
      </c>
      <c r="AC11" s="16"/>
      <c r="AD11" s="9">
        <v>0</v>
      </c>
      <c r="AE11" s="6"/>
    </row>
    <row r="12" ht="40.5" customHeight="1" spans="1:31">
      <c r="A12" s="12"/>
      <c r="B12" s="7" t="s">
        <v>58</v>
      </c>
      <c r="C12" s="11" t="s">
        <v>32</v>
      </c>
      <c r="D12" s="9">
        <v>0.04</v>
      </c>
      <c r="E12" s="9">
        <v>0.25</v>
      </c>
      <c r="F12" s="9">
        <v>1</v>
      </c>
      <c r="G12" s="11">
        <f t="shared" ref="G12" si="4">D12*F12</f>
        <v>0.04</v>
      </c>
      <c r="H12" s="11" t="s">
        <v>33</v>
      </c>
      <c r="I12" s="11" t="s">
        <v>34</v>
      </c>
      <c r="J12" s="11"/>
      <c r="K12" s="11"/>
      <c r="L12" s="11"/>
      <c r="M12" s="11"/>
      <c r="N12" s="11"/>
      <c r="O12" s="11"/>
      <c r="P12" s="11">
        <v>129</v>
      </c>
      <c r="Q12" s="71" t="s">
        <v>59</v>
      </c>
      <c r="R12" s="11" t="s">
        <v>36</v>
      </c>
      <c r="S12" s="11" t="s">
        <v>60</v>
      </c>
      <c r="T12" s="34"/>
      <c r="U12" s="18" t="s">
        <v>61</v>
      </c>
      <c r="V12" s="16"/>
      <c r="W12" s="34" t="s">
        <v>39</v>
      </c>
      <c r="X12" s="9">
        <v>1</v>
      </c>
      <c r="Y12" s="86" t="s">
        <v>40</v>
      </c>
      <c r="Z12" s="9">
        <v>2</v>
      </c>
      <c r="AA12" s="16"/>
      <c r="AB12" s="9">
        <v>0</v>
      </c>
      <c r="AC12" s="16"/>
      <c r="AD12" s="9">
        <v>0</v>
      </c>
      <c r="AE12" s="6"/>
    </row>
    <row r="13" ht="40.5" customHeight="1" spans="1:31">
      <c r="A13" s="18"/>
      <c r="B13" s="18"/>
      <c r="C13" s="11" t="s">
        <v>32</v>
      </c>
      <c r="D13" s="9">
        <v>0.04</v>
      </c>
      <c r="E13" s="9">
        <v>0.25</v>
      </c>
      <c r="F13" s="9">
        <v>1</v>
      </c>
      <c r="G13" s="11">
        <f t="shared" si="3"/>
        <v>0.04</v>
      </c>
      <c r="H13" s="11" t="s">
        <v>33</v>
      </c>
      <c r="I13" s="11" t="s">
        <v>34</v>
      </c>
      <c r="J13" s="11"/>
      <c r="K13" s="11"/>
      <c r="L13" s="11"/>
      <c r="M13" s="11"/>
      <c r="N13" s="11"/>
      <c r="O13" s="11"/>
      <c r="P13" s="11">
        <v>122</v>
      </c>
      <c r="Q13" s="71" t="s">
        <v>62</v>
      </c>
      <c r="R13" s="11" t="s">
        <v>36</v>
      </c>
      <c r="S13" s="11" t="s">
        <v>63</v>
      </c>
      <c r="T13" s="34"/>
      <c r="U13" s="18" t="s">
        <v>64</v>
      </c>
      <c r="V13" s="16"/>
      <c r="W13" s="34" t="s">
        <v>39</v>
      </c>
      <c r="X13" s="9">
        <v>1</v>
      </c>
      <c r="Y13" s="86" t="s">
        <v>40</v>
      </c>
      <c r="Z13" s="9">
        <v>2</v>
      </c>
      <c r="AA13" s="16"/>
      <c r="AB13" s="9">
        <v>0</v>
      </c>
      <c r="AC13" s="16"/>
      <c r="AD13" s="9">
        <v>0</v>
      </c>
      <c r="AE13" s="6"/>
    </row>
    <row r="14" ht="40.5" customHeight="1" spans="1:31">
      <c r="A14" s="7" t="s">
        <v>65</v>
      </c>
      <c r="B14" s="7" t="s">
        <v>66</v>
      </c>
      <c r="C14" s="11" t="s">
        <v>32</v>
      </c>
      <c r="D14" s="9">
        <v>0.04</v>
      </c>
      <c r="E14" s="9">
        <v>0.25</v>
      </c>
      <c r="F14" s="9">
        <v>1</v>
      </c>
      <c r="G14" s="11">
        <f t="shared" si="3"/>
        <v>0.04</v>
      </c>
      <c r="H14" s="11" t="s">
        <v>33</v>
      </c>
      <c r="I14" s="11" t="s">
        <v>34</v>
      </c>
      <c r="J14" s="11"/>
      <c r="K14" s="11"/>
      <c r="L14" s="11"/>
      <c r="M14" s="11"/>
      <c r="N14" s="11"/>
      <c r="O14" s="11"/>
      <c r="P14" s="11">
        <v>208</v>
      </c>
      <c r="Q14" s="71" t="s">
        <v>67</v>
      </c>
      <c r="R14" s="11" t="s">
        <v>36</v>
      </c>
      <c r="S14" s="11" t="s">
        <v>68</v>
      </c>
      <c r="T14" s="34"/>
      <c r="U14" s="18" t="s">
        <v>69</v>
      </c>
      <c r="V14" s="16"/>
      <c r="W14" s="34" t="s">
        <v>39</v>
      </c>
      <c r="X14" s="9">
        <v>1</v>
      </c>
      <c r="Y14" s="86" t="s">
        <v>40</v>
      </c>
      <c r="Z14" s="9">
        <v>2</v>
      </c>
      <c r="AA14" s="16"/>
      <c r="AB14" s="9">
        <v>0</v>
      </c>
      <c r="AC14" s="16"/>
      <c r="AD14" s="9">
        <v>0</v>
      </c>
      <c r="AE14" s="43" t="s">
        <v>70</v>
      </c>
    </row>
    <row r="15" ht="40.5" customHeight="1" spans="1:31">
      <c r="A15" s="12"/>
      <c r="B15" s="18"/>
      <c r="C15" s="11" t="s">
        <v>32</v>
      </c>
      <c r="D15" s="9">
        <v>0.04</v>
      </c>
      <c r="E15" s="9">
        <v>0.25</v>
      </c>
      <c r="F15" s="9">
        <v>1</v>
      </c>
      <c r="G15" s="11">
        <f t="shared" si="1"/>
        <v>0.04</v>
      </c>
      <c r="H15" s="11" t="s">
        <v>33</v>
      </c>
      <c r="I15" s="11" t="s">
        <v>34</v>
      </c>
      <c r="J15" s="11"/>
      <c r="K15" s="11"/>
      <c r="L15" s="11"/>
      <c r="M15" s="11"/>
      <c r="N15" s="11"/>
      <c r="O15" s="11"/>
      <c r="P15" s="11">
        <v>208</v>
      </c>
      <c r="Q15" s="71" t="s">
        <v>71</v>
      </c>
      <c r="R15" s="11" t="s">
        <v>36</v>
      </c>
      <c r="S15" s="11" t="s">
        <v>72</v>
      </c>
      <c r="T15" s="34"/>
      <c r="U15" s="18" t="s">
        <v>73</v>
      </c>
      <c r="V15" s="16"/>
      <c r="W15" s="34" t="s">
        <v>39</v>
      </c>
      <c r="X15" s="9">
        <v>1</v>
      </c>
      <c r="Y15" s="86" t="s">
        <v>40</v>
      </c>
      <c r="Z15" s="9">
        <v>2</v>
      </c>
      <c r="AA15" s="16"/>
      <c r="AB15" s="9">
        <v>0</v>
      </c>
      <c r="AC15" s="16"/>
      <c r="AD15" s="9">
        <v>0</v>
      </c>
      <c r="AE15" s="43" t="s">
        <v>70</v>
      </c>
    </row>
    <row r="16" ht="40.5" spans="1:31">
      <c r="A16" s="18"/>
      <c r="B16" s="11" t="s">
        <v>74</v>
      </c>
      <c r="C16" s="11" t="s">
        <v>32</v>
      </c>
      <c r="D16" s="9">
        <v>0.04</v>
      </c>
      <c r="E16" s="9">
        <v>0.25</v>
      </c>
      <c r="F16" s="9">
        <v>1</v>
      </c>
      <c r="G16" s="11">
        <f t="shared" si="1"/>
        <v>0.04</v>
      </c>
      <c r="H16" s="11" t="s">
        <v>33</v>
      </c>
      <c r="I16" s="11" t="s">
        <v>34</v>
      </c>
      <c r="J16" s="11"/>
      <c r="K16" s="11"/>
      <c r="L16" s="11"/>
      <c r="M16" s="11"/>
      <c r="N16" s="11"/>
      <c r="O16" s="11"/>
      <c r="P16" s="11">
        <v>208</v>
      </c>
      <c r="Q16" s="71" t="s">
        <v>75</v>
      </c>
      <c r="R16" s="11" t="s">
        <v>36</v>
      </c>
      <c r="S16" s="11" t="s">
        <v>76</v>
      </c>
      <c r="T16" s="34"/>
      <c r="U16" s="18" t="s">
        <v>77</v>
      </c>
      <c r="V16" s="16"/>
      <c r="W16" s="34" t="s">
        <v>39</v>
      </c>
      <c r="X16" s="9">
        <v>1</v>
      </c>
      <c r="Y16" s="86" t="s">
        <v>40</v>
      </c>
      <c r="Z16" s="9">
        <v>2</v>
      </c>
      <c r="AA16" s="16"/>
      <c r="AB16" s="9">
        <v>0</v>
      </c>
      <c r="AC16" s="16"/>
      <c r="AD16" s="9">
        <v>0</v>
      </c>
      <c r="AE16" s="43" t="s">
        <v>70</v>
      </c>
    </row>
    <row r="17" ht="33.75" customHeight="1" spans="1:31">
      <c r="A17" s="11" t="s">
        <v>78</v>
      </c>
      <c r="B17" s="11" t="s">
        <v>79</v>
      </c>
      <c r="C17" s="11" t="s">
        <v>80</v>
      </c>
      <c r="D17" s="8">
        <v>18.5</v>
      </c>
      <c r="E17" s="8">
        <v>37</v>
      </c>
      <c r="F17" s="9">
        <v>1</v>
      </c>
      <c r="G17" s="11">
        <f t="shared" si="1"/>
        <v>18.5</v>
      </c>
      <c r="H17" s="11" t="s">
        <v>33</v>
      </c>
      <c r="I17" s="11" t="s">
        <v>34</v>
      </c>
      <c r="J17" s="11"/>
      <c r="K17" s="11"/>
      <c r="L17" s="11">
        <v>170</v>
      </c>
      <c r="M17" s="11"/>
      <c r="N17" s="11"/>
      <c r="O17" s="11"/>
      <c r="P17" s="11"/>
      <c r="Q17" s="71" t="s">
        <v>81</v>
      </c>
      <c r="R17" s="11" t="s">
        <v>36</v>
      </c>
      <c r="S17" s="11" t="s">
        <v>82</v>
      </c>
      <c r="T17" s="34"/>
      <c r="U17" s="18" t="s">
        <v>83</v>
      </c>
      <c r="V17" s="16"/>
      <c r="W17" s="34" t="s">
        <v>39</v>
      </c>
      <c r="X17" s="9">
        <v>1</v>
      </c>
      <c r="Y17" s="86" t="s">
        <v>40</v>
      </c>
      <c r="Z17" s="9">
        <v>2</v>
      </c>
      <c r="AA17" s="11"/>
      <c r="AB17" s="9">
        <v>0</v>
      </c>
      <c r="AC17" s="16"/>
      <c r="AD17" s="9">
        <v>0</v>
      </c>
      <c r="AE17" s="6"/>
    </row>
    <row r="18" ht="62.25" customHeight="1" spans="1:31">
      <c r="A18" s="9"/>
      <c r="B18" s="11" t="s">
        <v>84</v>
      </c>
      <c r="C18" s="11" t="s">
        <v>80</v>
      </c>
      <c r="D18" s="8">
        <v>45</v>
      </c>
      <c r="E18" s="8">
        <v>90</v>
      </c>
      <c r="F18" s="9">
        <v>1</v>
      </c>
      <c r="G18" s="11">
        <f t="shared" si="1"/>
        <v>45</v>
      </c>
      <c r="H18" s="11" t="s">
        <v>33</v>
      </c>
      <c r="I18" s="33" t="s">
        <v>85</v>
      </c>
      <c r="J18" s="11"/>
      <c r="K18" s="33">
        <v>78</v>
      </c>
      <c r="M18" s="11"/>
      <c r="N18" s="11"/>
      <c r="O18" s="11"/>
      <c r="P18" s="11"/>
      <c r="Q18" s="71" t="s">
        <v>86</v>
      </c>
      <c r="R18" s="11" t="s">
        <v>87</v>
      </c>
      <c r="S18" s="11" t="s">
        <v>88</v>
      </c>
      <c r="T18" s="34"/>
      <c r="U18" s="11" t="s">
        <v>89</v>
      </c>
      <c r="V18" s="16"/>
      <c r="W18" s="34" t="s">
        <v>39</v>
      </c>
      <c r="X18" s="9">
        <v>3</v>
      </c>
      <c r="Y18" s="66" t="s">
        <v>90</v>
      </c>
      <c r="Z18" s="9">
        <v>5</v>
      </c>
      <c r="AA18" s="11"/>
      <c r="AB18" s="9">
        <v>0</v>
      </c>
      <c r="AC18" s="16"/>
      <c r="AD18" s="9">
        <v>0</v>
      </c>
      <c r="AE18" s="6"/>
    </row>
    <row r="19" ht="30" customHeight="1" spans="1:31">
      <c r="A19" s="7" t="s">
        <v>91</v>
      </c>
      <c r="B19" s="11" t="s">
        <v>79</v>
      </c>
      <c r="C19" s="11" t="s">
        <v>80</v>
      </c>
      <c r="D19" s="8">
        <v>15</v>
      </c>
      <c r="E19" s="8">
        <v>30</v>
      </c>
      <c r="F19" s="9">
        <v>1</v>
      </c>
      <c r="G19" s="11">
        <f t="shared" si="1"/>
        <v>15</v>
      </c>
      <c r="H19" s="11" t="s">
        <v>33</v>
      </c>
      <c r="I19" s="11" t="s">
        <v>34</v>
      </c>
      <c r="J19" s="11"/>
      <c r="K19" s="11"/>
      <c r="L19" s="11">
        <v>200</v>
      </c>
      <c r="M19" s="11"/>
      <c r="N19" s="11"/>
      <c r="O19" s="11"/>
      <c r="P19" s="11"/>
      <c r="Q19" s="71" t="s">
        <v>92</v>
      </c>
      <c r="R19" s="11" t="s">
        <v>36</v>
      </c>
      <c r="S19" s="11" t="s">
        <v>93</v>
      </c>
      <c r="T19" s="34"/>
      <c r="U19" s="11" t="s">
        <v>94</v>
      </c>
      <c r="V19" s="16"/>
      <c r="W19" s="34" t="s">
        <v>39</v>
      </c>
      <c r="X19" s="9">
        <v>1</v>
      </c>
      <c r="Y19" s="86" t="s">
        <v>40</v>
      </c>
      <c r="Z19" s="9">
        <v>2</v>
      </c>
      <c r="AA19" s="11"/>
      <c r="AB19" s="9">
        <v>0</v>
      </c>
      <c r="AC19" s="16"/>
      <c r="AD19" s="9">
        <v>0</v>
      </c>
      <c r="AE19" s="43" t="s">
        <v>70</v>
      </c>
    </row>
    <row r="20" ht="28.5" customHeight="1" spans="1:31">
      <c r="A20" s="18"/>
      <c r="B20" s="11" t="s">
        <v>84</v>
      </c>
      <c r="C20" s="11" t="s">
        <v>80</v>
      </c>
      <c r="D20" s="8">
        <v>7.5</v>
      </c>
      <c r="E20" s="9">
        <v>15</v>
      </c>
      <c r="F20" s="8">
        <v>1</v>
      </c>
      <c r="G20" s="11">
        <f t="shared" si="1"/>
        <v>7.5</v>
      </c>
      <c r="H20" s="11" t="s">
        <v>33</v>
      </c>
      <c r="I20" s="11" t="s">
        <v>34</v>
      </c>
      <c r="J20" s="11"/>
      <c r="K20" s="11"/>
      <c r="L20" s="11"/>
      <c r="M20" s="11">
        <v>179</v>
      </c>
      <c r="N20" s="11"/>
      <c r="O20" s="11"/>
      <c r="P20" s="11"/>
      <c r="Q20" s="71" t="s">
        <v>95</v>
      </c>
      <c r="R20" s="12" t="s">
        <v>36</v>
      </c>
      <c r="S20" s="11" t="s">
        <v>96</v>
      </c>
      <c r="T20" s="34"/>
      <c r="U20" s="11" t="s">
        <v>97</v>
      </c>
      <c r="V20" s="16"/>
      <c r="W20" s="34" t="s">
        <v>39</v>
      </c>
      <c r="X20" s="9">
        <v>1</v>
      </c>
      <c r="Y20" s="86" t="s">
        <v>40</v>
      </c>
      <c r="Z20" s="9">
        <v>2</v>
      </c>
      <c r="AA20" s="11"/>
      <c r="AB20" s="9">
        <v>0</v>
      </c>
      <c r="AC20" s="16"/>
      <c r="AD20" s="9">
        <v>0</v>
      </c>
      <c r="AE20" s="43" t="s">
        <v>70</v>
      </c>
    </row>
    <row r="21" ht="28.5" customHeight="1" spans="1:31">
      <c r="A21" s="7" t="s">
        <v>98</v>
      </c>
      <c r="B21" s="7" t="s">
        <v>99</v>
      </c>
      <c r="C21" s="11" t="s">
        <v>80</v>
      </c>
      <c r="D21" s="8">
        <v>15</v>
      </c>
      <c r="E21" s="9">
        <v>30</v>
      </c>
      <c r="F21" s="8">
        <v>1</v>
      </c>
      <c r="G21" s="11">
        <f t="shared" si="1"/>
        <v>15</v>
      </c>
      <c r="H21" s="11" t="s">
        <v>33</v>
      </c>
      <c r="I21" s="11" t="s">
        <v>34</v>
      </c>
      <c r="J21" s="11"/>
      <c r="K21" s="11"/>
      <c r="L21" s="11">
        <v>130</v>
      </c>
      <c r="M21" s="11"/>
      <c r="N21" s="11"/>
      <c r="O21" s="11"/>
      <c r="P21" s="11"/>
      <c r="Q21" s="71" t="s">
        <v>100</v>
      </c>
      <c r="R21" s="11" t="s">
        <v>36</v>
      </c>
      <c r="S21" s="11" t="s">
        <v>101</v>
      </c>
      <c r="T21" s="34"/>
      <c r="U21" s="11" t="s">
        <v>102</v>
      </c>
      <c r="V21" s="16"/>
      <c r="W21" s="34" t="s">
        <v>39</v>
      </c>
      <c r="X21" s="9">
        <v>1</v>
      </c>
      <c r="Y21" s="86" t="s">
        <v>40</v>
      </c>
      <c r="Z21" s="9">
        <v>2</v>
      </c>
      <c r="AA21" s="11"/>
      <c r="AB21" s="9">
        <v>0</v>
      </c>
      <c r="AC21" s="16"/>
      <c r="AD21" s="9">
        <v>0</v>
      </c>
      <c r="AE21" s="43"/>
    </row>
    <row r="22" ht="28.5" customHeight="1" spans="1:31">
      <c r="A22" s="12"/>
      <c r="B22" s="7" t="s">
        <v>103</v>
      </c>
      <c r="C22" s="11" t="s">
        <v>80</v>
      </c>
      <c r="D22" s="8">
        <v>11</v>
      </c>
      <c r="E22" s="9">
        <v>22</v>
      </c>
      <c r="F22" s="8">
        <v>1</v>
      </c>
      <c r="G22" s="11">
        <f t="shared" si="1"/>
        <v>11</v>
      </c>
      <c r="H22" s="11" t="s">
        <v>33</v>
      </c>
      <c r="I22" s="11" t="s">
        <v>34</v>
      </c>
      <c r="J22" s="11"/>
      <c r="K22" s="11"/>
      <c r="L22" s="11"/>
      <c r="M22" s="11">
        <v>106</v>
      </c>
      <c r="N22" s="11"/>
      <c r="O22" s="11"/>
      <c r="P22" s="11"/>
      <c r="Q22" s="71" t="s">
        <v>104</v>
      </c>
      <c r="R22" s="11" t="s">
        <v>36</v>
      </c>
      <c r="S22" s="11" t="s">
        <v>105</v>
      </c>
      <c r="T22" s="34"/>
      <c r="U22" s="11" t="s">
        <v>106</v>
      </c>
      <c r="V22" s="16"/>
      <c r="W22" s="34" t="s">
        <v>39</v>
      </c>
      <c r="X22" s="9">
        <v>1</v>
      </c>
      <c r="Y22" s="86" t="s">
        <v>40</v>
      </c>
      <c r="Z22" s="9">
        <v>2</v>
      </c>
      <c r="AA22" s="11"/>
      <c r="AB22" s="9">
        <v>0</v>
      </c>
      <c r="AC22" s="16"/>
      <c r="AD22" s="9">
        <v>0</v>
      </c>
      <c r="AE22" s="43"/>
    </row>
    <row r="23" ht="28.5" customHeight="1" spans="1:31">
      <c r="A23" s="18"/>
      <c r="B23" s="7" t="s">
        <v>107</v>
      </c>
      <c r="C23" s="11" t="s">
        <v>80</v>
      </c>
      <c r="D23" s="8">
        <v>7.5</v>
      </c>
      <c r="E23" s="9">
        <v>15</v>
      </c>
      <c r="F23" s="8">
        <v>1</v>
      </c>
      <c r="G23" s="11">
        <f t="shared" si="1"/>
        <v>7.5</v>
      </c>
      <c r="H23" s="11" t="s">
        <v>33</v>
      </c>
      <c r="I23" s="11" t="s">
        <v>34</v>
      </c>
      <c r="J23" s="11"/>
      <c r="K23" s="11"/>
      <c r="L23" s="11"/>
      <c r="M23" s="11">
        <v>113</v>
      </c>
      <c r="N23" s="11"/>
      <c r="O23" s="11"/>
      <c r="P23" s="11"/>
      <c r="Q23" s="71" t="s">
        <v>108</v>
      </c>
      <c r="R23" s="11" t="s">
        <v>36</v>
      </c>
      <c r="S23" s="11" t="s">
        <v>109</v>
      </c>
      <c r="T23" s="34"/>
      <c r="U23" s="11" t="s">
        <v>110</v>
      </c>
      <c r="V23" s="16"/>
      <c r="W23" s="34" t="s">
        <v>39</v>
      </c>
      <c r="X23" s="9">
        <v>1</v>
      </c>
      <c r="Y23" s="86" t="s">
        <v>40</v>
      </c>
      <c r="Z23" s="9">
        <v>2</v>
      </c>
      <c r="AA23" s="11"/>
      <c r="AB23" s="9">
        <v>0</v>
      </c>
      <c r="AC23" s="16"/>
      <c r="AD23" s="9">
        <v>0</v>
      </c>
      <c r="AE23" s="43"/>
    </row>
    <row r="24" ht="28.5" customHeight="1" spans="1:31">
      <c r="A24" s="7" t="s">
        <v>111</v>
      </c>
      <c r="B24" s="7" t="s">
        <v>32</v>
      </c>
      <c r="C24" s="11" t="s">
        <v>80</v>
      </c>
      <c r="D24" s="8">
        <v>3</v>
      </c>
      <c r="E24" s="9">
        <v>6</v>
      </c>
      <c r="F24" s="8">
        <v>1</v>
      </c>
      <c r="G24" s="11">
        <f t="shared" si="1"/>
        <v>3</v>
      </c>
      <c r="H24" s="11" t="s">
        <v>33</v>
      </c>
      <c r="I24" s="11" t="s">
        <v>34</v>
      </c>
      <c r="J24" s="11"/>
      <c r="K24" s="11"/>
      <c r="L24" s="11"/>
      <c r="M24" s="11"/>
      <c r="N24" s="11">
        <v>137</v>
      </c>
      <c r="O24" s="11"/>
      <c r="P24" s="11"/>
      <c r="Q24" s="71" t="s">
        <v>112</v>
      </c>
      <c r="R24" s="11" t="s">
        <v>36</v>
      </c>
      <c r="S24" s="11" t="s">
        <v>113</v>
      </c>
      <c r="T24" s="34"/>
      <c r="U24" s="11" t="s">
        <v>114</v>
      </c>
      <c r="V24" s="16"/>
      <c r="W24" s="34" t="s">
        <v>39</v>
      </c>
      <c r="X24" s="9">
        <v>1</v>
      </c>
      <c r="Y24" s="86" t="s">
        <v>40</v>
      </c>
      <c r="Z24" s="9">
        <v>2</v>
      </c>
      <c r="AA24" s="11"/>
      <c r="AB24" s="9">
        <v>0</v>
      </c>
      <c r="AC24" s="16"/>
      <c r="AD24" s="9">
        <v>0</v>
      </c>
      <c r="AE24" s="43"/>
    </row>
    <row r="25" ht="28.5" customHeight="1" spans="1:31">
      <c r="A25" s="18"/>
      <c r="B25" s="7" t="s">
        <v>115</v>
      </c>
      <c r="C25" s="11" t="s">
        <v>116</v>
      </c>
      <c r="D25" s="8">
        <v>3</v>
      </c>
      <c r="E25" s="9">
        <v>6</v>
      </c>
      <c r="F25" s="8">
        <v>1</v>
      </c>
      <c r="G25" s="11">
        <f t="shared" si="1"/>
        <v>3</v>
      </c>
      <c r="H25" s="11" t="s">
        <v>33</v>
      </c>
      <c r="I25" s="11" t="s">
        <v>34</v>
      </c>
      <c r="J25" s="11"/>
      <c r="K25" s="11"/>
      <c r="L25" s="11"/>
      <c r="M25" s="11"/>
      <c r="N25" s="11">
        <v>140</v>
      </c>
      <c r="O25" s="11"/>
      <c r="P25" s="11"/>
      <c r="Q25" s="71" t="s">
        <v>117</v>
      </c>
      <c r="R25" s="11" t="s">
        <v>36</v>
      </c>
      <c r="S25" s="11" t="s">
        <v>118</v>
      </c>
      <c r="T25" s="34"/>
      <c r="U25" s="11" t="s">
        <v>119</v>
      </c>
      <c r="V25" s="16"/>
      <c r="W25" s="34" t="s">
        <v>39</v>
      </c>
      <c r="X25" s="9">
        <v>1</v>
      </c>
      <c r="Y25" s="86" t="s">
        <v>40</v>
      </c>
      <c r="Z25" s="9">
        <v>2</v>
      </c>
      <c r="AA25" s="11"/>
      <c r="AB25" s="9">
        <v>0</v>
      </c>
      <c r="AC25" s="16"/>
      <c r="AD25" s="9">
        <v>0</v>
      </c>
      <c r="AE25" s="43"/>
    </row>
    <row r="26" ht="31.5" customHeight="1" spans="1:31">
      <c r="A26" s="7" t="s">
        <v>120</v>
      </c>
      <c r="B26" s="7" t="s">
        <v>120</v>
      </c>
      <c r="C26" s="11" t="s">
        <v>32</v>
      </c>
      <c r="D26" s="9">
        <v>0.04</v>
      </c>
      <c r="E26" s="9">
        <v>0.25</v>
      </c>
      <c r="F26" s="8">
        <v>1</v>
      </c>
      <c r="G26" s="11">
        <f t="shared" si="1"/>
        <v>0.04</v>
      </c>
      <c r="H26" s="11" t="s">
        <v>33</v>
      </c>
      <c r="I26" s="11" t="s">
        <v>34</v>
      </c>
      <c r="J26" s="11"/>
      <c r="K26" s="11"/>
      <c r="L26" s="11"/>
      <c r="M26" s="11"/>
      <c r="N26" s="11"/>
      <c r="O26" s="11"/>
      <c r="P26" s="11">
        <v>39</v>
      </c>
      <c r="Q26" s="71" t="s">
        <v>121</v>
      </c>
      <c r="R26" s="11" t="s">
        <v>36</v>
      </c>
      <c r="S26" s="11" t="s">
        <v>122</v>
      </c>
      <c r="T26" s="34"/>
      <c r="U26" s="11" t="s">
        <v>123</v>
      </c>
      <c r="V26" s="16"/>
      <c r="W26" s="34" t="s">
        <v>39</v>
      </c>
      <c r="X26" s="9">
        <v>1</v>
      </c>
      <c r="Y26" s="86" t="s">
        <v>40</v>
      </c>
      <c r="Z26" s="9">
        <v>2</v>
      </c>
      <c r="AA26" s="34"/>
      <c r="AB26" s="9">
        <v>0</v>
      </c>
      <c r="AC26" s="16"/>
      <c r="AD26" s="9">
        <v>0</v>
      </c>
      <c r="AE26" s="6"/>
    </row>
    <row r="27" ht="30.75" customHeight="1" spans="1:31">
      <c r="A27" s="11" t="s">
        <v>124</v>
      </c>
      <c r="B27" s="17" t="s">
        <v>125</v>
      </c>
      <c r="C27" s="11" t="s">
        <v>32</v>
      </c>
      <c r="D27" s="9">
        <v>0.04</v>
      </c>
      <c r="E27" s="9">
        <v>0.25</v>
      </c>
      <c r="F27" s="8">
        <v>1</v>
      </c>
      <c r="G27" s="11">
        <f t="shared" si="1"/>
        <v>0.04</v>
      </c>
      <c r="H27" s="11" t="s">
        <v>33</v>
      </c>
      <c r="I27" s="11" t="s">
        <v>34</v>
      </c>
      <c r="J27" s="11"/>
      <c r="K27" s="11"/>
      <c r="L27" s="11"/>
      <c r="M27" s="11"/>
      <c r="N27" s="11"/>
      <c r="O27" s="11"/>
      <c r="P27" s="11">
        <v>43</v>
      </c>
      <c r="Q27" s="71" t="s">
        <v>126</v>
      </c>
      <c r="R27" s="11" t="s">
        <v>36</v>
      </c>
      <c r="S27" s="11" t="s">
        <v>127</v>
      </c>
      <c r="T27" s="34"/>
      <c r="U27" s="11" t="s">
        <v>128</v>
      </c>
      <c r="V27" s="16"/>
      <c r="W27" s="34" t="s">
        <v>39</v>
      </c>
      <c r="X27" s="9">
        <v>1</v>
      </c>
      <c r="Y27" s="86" t="s">
        <v>40</v>
      </c>
      <c r="Z27" s="9">
        <v>2</v>
      </c>
      <c r="AA27" s="34"/>
      <c r="AB27" s="9">
        <v>0</v>
      </c>
      <c r="AC27" s="16"/>
      <c r="AD27" s="9">
        <v>0</v>
      </c>
      <c r="AE27" s="6"/>
    </row>
    <row r="28" ht="36" customHeight="1" spans="1:31">
      <c r="A28" s="11" t="s">
        <v>129</v>
      </c>
      <c r="B28" s="17" t="s">
        <v>130</v>
      </c>
      <c r="C28" s="11" t="s">
        <v>32</v>
      </c>
      <c r="D28" s="9">
        <v>0.04</v>
      </c>
      <c r="E28" s="9">
        <v>0.25</v>
      </c>
      <c r="F28" s="9">
        <v>1</v>
      </c>
      <c r="G28" s="11">
        <f t="shared" si="1"/>
        <v>0.04</v>
      </c>
      <c r="H28" s="11" t="s">
        <v>33</v>
      </c>
      <c r="I28" s="11" t="s">
        <v>34</v>
      </c>
      <c r="J28" s="11"/>
      <c r="K28" s="11"/>
      <c r="L28" s="11"/>
      <c r="M28" s="11"/>
      <c r="N28" s="11"/>
      <c r="O28" s="11"/>
      <c r="P28" s="11">
        <v>43</v>
      </c>
      <c r="Q28" s="71" t="s">
        <v>131</v>
      </c>
      <c r="R28" s="11" t="s">
        <v>36</v>
      </c>
      <c r="S28" s="11" t="s">
        <v>132</v>
      </c>
      <c r="T28" s="34"/>
      <c r="U28" s="11" t="s">
        <v>133</v>
      </c>
      <c r="V28" s="16"/>
      <c r="W28" s="34" t="s">
        <v>39</v>
      </c>
      <c r="X28" s="9">
        <v>1</v>
      </c>
      <c r="Y28" s="86" t="s">
        <v>40</v>
      </c>
      <c r="Z28" s="9">
        <v>2</v>
      </c>
      <c r="AA28" s="16"/>
      <c r="AB28" s="9">
        <v>0</v>
      </c>
      <c r="AC28" s="16"/>
      <c r="AD28" s="9">
        <v>0</v>
      </c>
      <c r="AE28" s="6"/>
    </row>
    <row r="29" ht="27" spans="1:31">
      <c r="A29" s="11" t="s">
        <v>134</v>
      </c>
      <c r="B29" s="17" t="s">
        <v>135</v>
      </c>
      <c r="C29" s="11" t="s">
        <v>136</v>
      </c>
      <c r="D29" s="9">
        <v>7.5</v>
      </c>
      <c r="E29" s="9">
        <v>15</v>
      </c>
      <c r="F29" s="9">
        <v>1</v>
      </c>
      <c r="G29" s="11">
        <f t="shared" si="1"/>
        <v>7.5</v>
      </c>
      <c r="H29" s="11" t="s">
        <v>33</v>
      </c>
      <c r="I29" s="11" t="s">
        <v>34</v>
      </c>
      <c r="J29" s="11"/>
      <c r="K29" s="11"/>
      <c r="L29" s="11"/>
      <c r="M29" s="11"/>
      <c r="N29" s="11">
        <v>38</v>
      </c>
      <c r="O29" s="11"/>
      <c r="P29" s="11"/>
      <c r="Q29" s="71" t="s">
        <v>137</v>
      </c>
      <c r="R29" s="11" t="s">
        <v>36</v>
      </c>
      <c r="S29" s="11" t="s">
        <v>138</v>
      </c>
      <c r="T29" s="34"/>
      <c r="U29" s="11" t="s">
        <v>139</v>
      </c>
      <c r="V29" s="16"/>
      <c r="W29" s="34" t="s">
        <v>39</v>
      </c>
      <c r="X29" s="9">
        <v>1</v>
      </c>
      <c r="Y29" s="86" t="s">
        <v>40</v>
      </c>
      <c r="Z29" s="9">
        <v>2</v>
      </c>
      <c r="AA29" s="16"/>
      <c r="AB29" s="9">
        <v>0</v>
      </c>
      <c r="AC29" s="16"/>
      <c r="AD29" s="9">
        <v>0</v>
      </c>
      <c r="AE29" s="6"/>
    </row>
    <row r="30" ht="45.75" customHeight="1" spans="1:31">
      <c r="A30" s="7" t="s">
        <v>140</v>
      </c>
      <c r="B30" s="17" t="s">
        <v>141</v>
      </c>
      <c r="C30" s="11" t="s">
        <v>142</v>
      </c>
      <c r="D30" s="9">
        <v>4</v>
      </c>
      <c r="E30" s="9">
        <v>8</v>
      </c>
      <c r="F30" s="9">
        <v>1</v>
      </c>
      <c r="G30" s="11">
        <f t="shared" si="1"/>
        <v>4</v>
      </c>
      <c r="H30" s="11" t="s">
        <v>33</v>
      </c>
      <c r="I30" s="11" t="s">
        <v>34</v>
      </c>
      <c r="J30" s="11"/>
      <c r="K30" s="11"/>
      <c r="L30" s="11"/>
      <c r="M30" s="11"/>
      <c r="N30" s="11"/>
      <c r="O30" s="11"/>
      <c r="P30" s="11">
        <v>43</v>
      </c>
      <c r="Q30" s="71" t="s">
        <v>143</v>
      </c>
      <c r="R30" s="11" t="s">
        <v>36</v>
      </c>
      <c r="S30" s="11" t="s">
        <v>144</v>
      </c>
      <c r="T30" s="34"/>
      <c r="U30" s="11" t="s">
        <v>145</v>
      </c>
      <c r="V30" s="16"/>
      <c r="W30" s="34" t="s">
        <v>39</v>
      </c>
      <c r="X30" s="9">
        <v>1</v>
      </c>
      <c r="Y30" s="86" t="s">
        <v>40</v>
      </c>
      <c r="Z30" s="9">
        <v>2</v>
      </c>
      <c r="AA30" s="16"/>
      <c r="AB30" s="9">
        <v>0</v>
      </c>
      <c r="AC30" s="16"/>
      <c r="AD30" s="9">
        <v>0</v>
      </c>
      <c r="AE30" s="43" t="s">
        <v>146</v>
      </c>
    </row>
    <row r="31" ht="42" customHeight="1" spans="1:31">
      <c r="A31" s="18"/>
      <c r="B31" s="17" t="s">
        <v>147</v>
      </c>
      <c r="C31" s="11" t="s">
        <v>148</v>
      </c>
      <c r="D31" s="9">
        <v>4</v>
      </c>
      <c r="E31" s="9">
        <v>8</v>
      </c>
      <c r="F31" s="9">
        <v>1</v>
      </c>
      <c r="G31" s="11">
        <f t="shared" si="1"/>
        <v>4</v>
      </c>
      <c r="H31" s="11" t="s">
        <v>33</v>
      </c>
      <c r="I31" s="11" t="s">
        <v>34</v>
      </c>
      <c r="J31" s="11"/>
      <c r="K31" s="11"/>
      <c r="L31" s="11"/>
      <c r="M31" s="11"/>
      <c r="N31" s="11"/>
      <c r="O31" s="11"/>
      <c r="P31" s="11">
        <v>43</v>
      </c>
      <c r="Q31" s="71" t="s">
        <v>149</v>
      </c>
      <c r="R31" s="11" t="s">
        <v>36</v>
      </c>
      <c r="S31" s="11" t="s">
        <v>150</v>
      </c>
      <c r="T31" s="34"/>
      <c r="U31" s="11" t="s">
        <v>151</v>
      </c>
      <c r="V31" s="16"/>
      <c r="W31" s="34" t="s">
        <v>39</v>
      </c>
      <c r="X31" s="9">
        <v>1</v>
      </c>
      <c r="Y31" s="86" t="s">
        <v>40</v>
      </c>
      <c r="Z31" s="9">
        <v>2</v>
      </c>
      <c r="AA31" s="16"/>
      <c r="AB31" s="9">
        <v>0</v>
      </c>
      <c r="AC31" s="16"/>
      <c r="AD31" s="9">
        <v>0</v>
      </c>
      <c r="AE31" s="6"/>
    </row>
    <row r="32" ht="33" customHeight="1" spans="1:31">
      <c r="A32" s="7" t="s">
        <v>152</v>
      </c>
      <c r="B32" s="17" t="s">
        <v>153</v>
      </c>
      <c r="C32" s="11" t="s">
        <v>154</v>
      </c>
      <c r="D32" s="9">
        <v>3</v>
      </c>
      <c r="E32" s="9">
        <v>6</v>
      </c>
      <c r="F32" s="9">
        <v>1</v>
      </c>
      <c r="G32" s="11">
        <f t="shared" si="1"/>
        <v>3</v>
      </c>
      <c r="H32" s="11" t="s">
        <v>33</v>
      </c>
      <c r="I32" s="11" t="s">
        <v>34</v>
      </c>
      <c r="J32" s="11"/>
      <c r="K32" s="11"/>
      <c r="L32" s="11"/>
      <c r="M32" s="11"/>
      <c r="N32" s="11"/>
      <c r="O32" s="11"/>
      <c r="P32" s="11">
        <v>43</v>
      </c>
      <c r="Q32" s="71" t="s">
        <v>155</v>
      </c>
      <c r="R32" s="11" t="s">
        <v>36</v>
      </c>
      <c r="S32" s="11" t="s">
        <v>156</v>
      </c>
      <c r="T32" s="34"/>
      <c r="U32" s="11" t="s">
        <v>157</v>
      </c>
      <c r="V32" s="16"/>
      <c r="W32" s="34" t="s">
        <v>39</v>
      </c>
      <c r="X32" s="9">
        <v>1</v>
      </c>
      <c r="Y32" s="86" t="s">
        <v>40</v>
      </c>
      <c r="Z32" s="9">
        <v>2</v>
      </c>
      <c r="AA32" s="16"/>
      <c r="AB32" s="9">
        <v>0</v>
      </c>
      <c r="AC32" s="16"/>
      <c r="AD32" s="9">
        <v>0</v>
      </c>
      <c r="AE32" s="6"/>
    </row>
    <row r="33" ht="33.75" customHeight="1" spans="1:31">
      <c r="A33" s="18"/>
      <c r="B33" s="17" t="s">
        <v>158</v>
      </c>
      <c r="C33" s="11" t="s">
        <v>159</v>
      </c>
      <c r="D33" s="9">
        <v>3</v>
      </c>
      <c r="E33" s="9">
        <v>6</v>
      </c>
      <c r="F33" s="8">
        <v>1</v>
      </c>
      <c r="G33" s="11">
        <f t="shared" si="1"/>
        <v>3</v>
      </c>
      <c r="H33" s="11" t="s">
        <v>33</v>
      </c>
      <c r="I33" s="11" t="s">
        <v>34</v>
      </c>
      <c r="J33" s="11"/>
      <c r="K33" s="11"/>
      <c r="L33" s="11"/>
      <c r="M33" s="11"/>
      <c r="N33" s="11"/>
      <c r="O33" s="11"/>
      <c r="P33" s="11">
        <v>43</v>
      </c>
      <c r="Q33" s="71" t="s">
        <v>160</v>
      </c>
      <c r="R33" s="11" t="s">
        <v>36</v>
      </c>
      <c r="S33" s="11" t="s">
        <v>161</v>
      </c>
      <c r="T33" s="34"/>
      <c r="U33" s="11" t="s">
        <v>162</v>
      </c>
      <c r="V33" s="16"/>
      <c r="W33" s="34" t="s">
        <v>39</v>
      </c>
      <c r="X33" s="9">
        <v>1</v>
      </c>
      <c r="Y33" s="86" t="s">
        <v>40</v>
      </c>
      <c r="Z33" s="9">
        <v>2</v>
      </c>
      <c r="AA33" s="34"/>
      <c r="AB33" s="9">
        <v>0</v>
      </c>
      <c r="AC33" s="16"/>
      <c r="AD33" s="9">
        <v>0</v>
      </c>
      <c r="AE33" s="6"/>
    </row>
    <row r="34" ht="33" customHeight="1" spans="1:31">
      <c r="A34" s="7" t="s">
        <v>163</v>
      </c>
      <c r="B34" s="17" t="s">
        <v>164</v>
      </c>
      <c r="C34" s="17" t="s">
        <v>164</v>
      </c>
      <c r="D34" s="9">
        <v>3</v>
      </c>
      <c r="E34" s="9">
        <v>6</v>
      </c>
      <c r="F34" s="8">
        <v>1</v>
      </c>
      <c r="G34" s="11">
        <f t="shared" si="1"/>
        <v>3</v>
      </c>
      <c r="H34" s="11" t="s">
        <v>33</v>
      </c>
      <c r="I34" s="11" t="s">
        <v>34</v>
      </c>
      <c r="K34" s="11"/>
      <c r="L34" s="11"/>
      <c r="M34" s="11"/>
      <c r="N34" s="11"/>
      <c r="O34" s="11"/>
      <c r="P34" s="11">
        <v>43</v>
      </c>
      <c r="Q34" s="71" t="s">
        <v>165</v>
      </c>
      <c r="R34" s="11" t="s">
        <v>36</v>
      </c>
      <c r="S34" s="11" t="s">
        <v>166</v>
      </c>
      <c r="T34" s="34"/>
      <c r="U34" s="11" t="s">
        <v>167</v>
      </c>
      <c r="V34" s="16"/>
      <c r="W34" s="34" t="s">
        <v>39</v>
      </c>
      <c r="X34" s="9">
        <v>1</v>
      </c>
      <c r="Y34" s="86" t="s">
        <v>40</v>
      </c>
      <c r="Z34" s="9">
        <v>2</v>
      </c>
      <c r="AA34" s="34"/>
      <c r="AB34" s="9">
        <v>0</v>
      </c>
      <c r="AC34" s="16"/>
      <c r="AD34" s="9">
        <v>0</v>
      </c>
      <c r="AE34" s="6"/>
    </row>
    <row r="35" ht="34.5" customHeight="1" spans="1:31">
      <c r="A35" s="18"/>
      <c r="B35" s="17" t="s">
        <v>168</v>
      </c>
      <c r="C35" s="17" t="s">
        <v>168</v>
      </c>
      <c r="D35" s="9">
        <v>0</v>
      </c>
      <c r="E35" s="9"/>
      <c r="F35" s="8">
        <v>1</v>
      </c>
      <c r="G35" s="11">
        <f t="shared" si="1"/>
        <v>0</v>
      </c>
      <c r="H35" s="11" t="s">
        <v>169</v>
      </c>
      <c r="I35" s="11" t="s">
        <v>34</v>
      </c>
      <c r="J35" s="11">
        <v>43</v>
      </c>
      <c r="K35" s="11"/>
      <c r="L35" s="11"/>
      <c r="M35" s="11"/>
      <c r="N35" s="11"/>
      <c r="O35" s="11"/>
      <c r="P35" s="11"/>
      <c r="Q35" s="71" t="s">
        <v>170</v>
      </c>
      <c r="R35" s="11" t="s">
        <v>21</v>
      </c>
      <c r="S35" s="11" t="s">
        <v>171</v>
      </c>
      <c r="T35" s="34"/>
      <c r="U35" s="11" t="s">
        <v>172</v>
      </c>
      <c r="V35" s="16"/>
      <c r="W35" s="34" t="s">
        <v>39</v>
      </c>
      <c r="X35" s="9">
        <v>1</v>
      </c>
      <c r="Y35" s="86" t="s">
        <v>40</v>
      </c>
      <c r="Z35" s="9">
        <v>2</v>
      </c>
      <c r="AA35" s="34"/>
      <c r="AB35" s="9">
        <v>0</v>
      </c>
      <c r="AC35" s="16"/>
      <c r="AD35" s="9">
        <v>0</v>
      </c>
      <c r="AE35" s="6"/>
    </row>
    <row r="36" ht="40.5" customHeight="1" spans="1:31">
      <c r="A36" s="11" t="s">
        <v>173</v>
      </c>
      <c r="B36" s="11" t="s">
        <v>32</v>
      </c>
      <c r="C36" s="11" t="s">
        <v>32</v>
      </c>
      <c r="D36" s="9">
        <v>0.04</v>
      </c>
      <c r="E36" s="9">
        <v>0.25</v>
      </c>
      <c r="F36" s="9">
        <v>1</v>
      </c>
      <c r="G36" s="11">
        <f t="shared" ref="G36:G41" si="5">D36*F36</f>
        <v>0.04</v>
      </c>
      <c r="H36" s="11" t="s">
        <v>33</v>
      </c>
      <c r="I36" s="11" t="s">
        <v>34</v>
      </c>
      <c r="J36" s="11"/>
      <c r="K36" s="11"/>
      <c r="L36" s="11"/>
      <c r="M36" s="11"/>
      <c r="N36" s="11"/>
      <c r="O36" s="11"/>
      <c r="P36" s="11">
        <v>39</v>
      </c>
      <c r="Q36" s="71" t="s">
        <v>174</v>
      </c>
      <c r="R36" s="11" t="s">
        <v>36</v>
      </c>
      <c r="S36" s="11" t="s">
        <v>175</v>
      </c>
      <c r="T36" s="34"/>
      <c r="U36" s="11" t="s">
        <v>176</v>
      </c>
      <c r="V36" s="16"/>
      <c r="W36" s="34" t="s">
        <v>39</v>
      </c>
      <c r="X36" s="9">
        <v>1</v>
      </c>
      <c r="Y36" s="86" t="s">
        <v>40</v>
      </c>
      <c r="Z36" s="9">
        <v>2</v>
      </c>
      <c r="AA36" s="34"/>
      <c r="AB36" s="9">
        <v>0</v>
      </c>
      <c r="AC36" s="16"/>
      <c r="AD36" s="9">
        <v>0</v>
      </c>
      <c r="AE36" s="6"/>
    </row>
    <row r="37" ht="56.25" customHeight="1" spans="1:31">
      <c r="A37" s="7" t="s">
        <v>177</v>
      </c>
      <c r="B37" s="17" t="s">
        <v>178</v>
      </c>
      <c r="C37" s="17" t="s">
        <v>178</v>
      </c>
      <c r="D37" s="8">
        <v>45</v>
      </c>
      <c r="E37" s="8">
        <v>90</v>
      </c>
      <c r="F37" s="8">
        <v>1</v>
      </c>
      <c r="G37" s="11">
        <f t="shared" si="5"/>
        <v>45</v>
      </c>
      <c r="H37" s="11" t="s">
        <v>33</v>
      </c>
      <c r="I37" s="33" t="s">
        <v>85</v>
      </c>
      <c r="J37" s="11"/>
      <c r="K37" s="33">
        <v>70</v>
      </c>
      <c r="M37" s="11"/>
      <c r="N37" s="11"/>
      <c r="O37" s="11"/>
      <c r="P37" s="11"/>
      <c r="Q37" s="71" t="s">
        <v>179</v>
      </c>
      <c r="R37" s="11" t="s">
        <v>21</v>
      </c>
      <c r="S37" s="11" t="s">
        <v>180</v>
      </c>
      <c r="T37" s="16"/>
      <c r="U37" s="11" t="s">
        <v>181</v>
      </c>
      <c r="V37" s="16"/>
      <c r="W37" s="34" t="s">
        <v>39</v>
      </c>
      <c r="X37" s="9">
        <v>3</v>
      </c>
      <c r="Y37" s="66" t="s">
        <v>90</v>
      </c>
      <c r="Z37" s="9">
        <v>5</v>
      </c>
      <c r="AA37" s="11"/>
      <c r="AB37" s="9">
        <v>0</v>
      </c>
      <c r="AC37" s="16"/>
      <c r="AD37" s="9">
        <v>0</v>
      </c>
      <c r="AE37" s="49" t="s">
        <v>182</v>
      </c>
    </row>
    <row r="38" ht="58.5" customHeight="1" spans="1:31">
      <c r="A38" s="12"/>
      <c r="B38" s="17" t="s">
        <v>183</v>
      </c>
      <c r="C38" s="17" t="s">
        <v>183</v>
      </c>
      <c r="D38" s="8">
        <v>45</v>
      </c>
      <c r="E38" s="8">
        <v>90</v>
      </c>
      <c r="F38" s="8">
        <v>1</v>
      </c>
      <c r="G38" s="11">
        <f t="shared" si="5"/>
        <v>45</v>
      </c>
      <c r="H38" s="11" t="s">
        <v>33</v>
      </c>
      <c r="I38" s="33" t="s">
        <v>85</v>
      </c>
      <c r="J38" s="11"/>
      <c r="K38" s="33">
        <v>70</v>
      </c>
      <c r="M38" s="11"/>
      <c r="N38" s="11"/>
      <c r="O38" s="11"/>
      <c r="P38" s="11"/>
      <c r="Q38" s="71" t="s">
        <v>184</v>
      </c>
      <c r="R38" s="11" t="s">
        <v>21</v>
      </c>
      <c r="S38" s="11" t="s">
        <v>185</v>
      </c>
      <c r="T38" s="16"/>
      <c r="U38" s="11" t="s">
        <v>186</v>
      </c>
      <c r="V38" s="16"/>
      <c r="W38" s="34" t="s">
        <v>39</v>
      </c>
      <c r="X38" s="9">
        <v>3</v>
      </c>
      <c r="Y38" s="66" t="s">
        <v>187</v>
      </c>
      <c r="Z38" s="9">
        <v>4</v>
      </c>
      <c r="AA38" s="11"/>
      <c r="AB38" s="9">
        <v>0</v>
      </c>
      <c r="AC38" s="16"/>
      <c r="AD38" s="9">
        <v>0</v>
      </c>
      <c r="AE38" s="53"/>
    </row>
    <row r="39" ht="35.25" customHeight="1" spans="1:31">
      <c r="A39" s="12"/>
      <c r="B39" s="17" t="s">
        <v>188</v>
      </c>
      <c r="C39" s="17" t="s">
        <v>188</v>
      </c>
      <c r="D39" s="9">
        <v>2.2</v>
      </c>
      <c r="E39" s="9">
        <v>4.4</v>
      </c>
      <c r="F39" s="8">
        <v>1</v>
      </c>
      <c r="G39" s="11">
        <f t="shared" si="5"/>
        <v>2.2</v>
      </c>
      <c r="H39" s="11" t="s">
        <v>33</v>
      </c>
      <c r="I39" s="11" t="s">
        <v>34</v>
      </c>
      <c r="J39" s="11"/>
      <c r="K39" s="11"/>
      <c r="L39" s="11"/>
      <c r="M39" s="11"/>
      <c r="N39" s="11"/>
      <c r="O39" s="11"/>
      <c r="P39" s="11">
        <v>35</v>
      </c>
      <c r="Q39" s="71" t="s">
        <v>189</v>
      </c>
      <c r="R39" s="11" t="s">
        <v>36</v>
      </c>
      <c r="S39" s="11" t="s">
        <v>190</v>
      </c>
      <c r="T39" s="16"/>
      <c r="U39" s="11" t="s">
        <v>191</v>
      </c>
      <c r="V39" s="16"/>
      <c r="W39" s="34" t="s">
        <v>39</v>
      </c>
      <c r="X39" s="9">
        <v>1</v>
      </c>
      <c r="Y39" s="86" t="s">
        <v>40</v>
      </c>
      <c r="Z39" s="9">
        <v>2</v>
      </c>
      <c r="AA39" s="34"/>
      <c r="AB39" s="9">
        <v>0</v>
      </c>
      <c r="AC39" s="16"/>
      <c r="AD39" s="9">
        <v>0</v>
      </c>
      <c r="AE39" s="6"/>
    </row>
    <row r="40" ht="35.25" customHeight="1" spans="1:31">
      <c r="A40" s="18"/>
      <c r="B40" s="17" t="s">
        <v>192</v>
      </c>
      <c r="C40" s="17" t="s">
        <v>192</v>
      </c>
      <c r="D40" s="9">
        <v>0.013</v>
      </c>
      <c r="E40" s="8">
        <v>0.1</v>
      </c>
      <c r="F40" s="8">
        <v>1</v>
      </c>
      <c r="G40" s="11">
        <f t="shared" si="5"/>
        <v>0.013</v>
      </c>
      <c r="H40" s="11" t="s">
        <v>33</v>
      </c>
      <c r="I40" s="11" t="s">
        <v>34</v>
      </c>
      <c r="J40" s="11"/>
      <c r="K40" s="11"/>
      <c r="L40" s="11"/>
      <c r="M40" s="11"/>
      <c r="N40" s="11"/>
      <c r="O40" s="11"/>
      <c r="P40" s="11">
        <v>35</v>
      </c>
      <c r="Q40" s="71" t="s">
        <v>193</v>
      </c>
      <c r="R40" s="11" t="s">
        <v>36</v>
      </c>
      <c r="S40" s="11" t="s">
        <v>194</v>
      </c>
      <c r="T40" s="16"/>
      <c r="U40" s="11" t="s">
        <v>195</v>
      </c>
      <c r="V40" s="16"/>
      <c r="W40" s="34" t="s">
        <v>39</v>
      </c>
      <c r="X40" s="9">
        <v>1</v>
      </c>
      <c r="Y40" s="86" t="s">
        <v>40</v>
      </c>
      <c r="Z40" s="9">
        <v>2</v>
      </c>
      <c r="AA40" s="34"/>
      <c r="AB40" s="9">
        <v>0</v>
      </c>
      <c r="AC40" s="16"/>
      <c r="AD40" s="9">
        <v>0</v>
      </c>
      <c r="AE40" s="6"/>
    </row>
    <row r="41" ht="43.5" customHeight="1" spans="1:31">
      <c r="A41" s="7" t="s">
        <v>196</v>
      </c>
      <c r="B41" s="17" t="s">
        <v>197</v>
      </c>
      <c r="C41" s="17" t="s">
        <v>198</v>
      </c>
      <c r="D41" s="8">
        <v>45</v>
      </c>
      <c r="E41" s="8">
        <v>90</v>
      </c>
      <c r="F41" s="8">
        <v>1</v>
      </c>
      <c r="G41" s="11">
        <f t="shared" si="5"/>
        <v>45</v>
      </c>
      <c r="H41" s="11" t="s">
        <v>33</v>
      </c>
      <c r="I41" s="33" t="s">
        <v>199</v>
      </c>
      <c r="J41" s="11"/>
      <c r="K41" s="33">
        <v>78</v>
      </c>
      <c r="L41" s="11"/>
      <c r="M41" s="11"/>
      <c r="N41" s="11"/>
      <c r="O41" s="11"/>
      <c r="P41" s="11"/>
      <c r="Q41" s="71" t="s">
        <v>200</v>
      </c>
      <c r="R41" s="11" t="s">
        <v>21</v>
      </c>
      <c r="S41" s="11" t="s">
        <v>201</v>
      </c>
      <c r="T41" s="34"/>
      <c r="U41" s="11" t="s">
        <v>202</v>
      </c>
      <c r="V41" s="16"/>
      <c r="W41" s="34" t="s">
        <v>39</v>
      </c>
      <c r="X41" s="9">
        <v>1</v>
      </c>
      <c r="Y41" s="34" t="s">
        <v>203</v>
      </c>
      <c r="Z41" s="9">
        <v>3</v>
      </c>
      <c r="AA41" s="34" t="s">
        <v>204</v>
      </c>
      <c r="AB41" s="9">
        <v>2</v>
      </c>
      <c r="AC41" s="34" t="s">
        <v>205</v>
      </c>
      <c r="AD41" s="9">
        <v>1</v>
      </c>
      <c r="AE41" s="6"/>
    </row>
    <row r="42" ht="33.75" customHeight="1" spans="1:31">
      <c r="A42" s="12"/>
      <c r="B42" s="17" t="s">
        <v>197</v>
      </c>
      <c r="C42" s="17" t="s">
        <v>206</v>
      </c>
      <c r="D42" s="8"/>
      <c r="E42" s="8"/>
      <c r="F42" s="8">
        <v>1</v>
      </c>
      <c r="G42" s="11"/>
      <c r="H42" s="11" t="s">
        <v>33</v>
      </c>
      <c r="I42" s="11" t="s">
        <v>34</v>
      </c>
      <c r="J42" s="11"/>
      <c r="K42" s="11"/>
      <c r="L42" s="11"/>
      <c r="M42" s="11"/>
      <c r="N42" s="11">
        <v>39</v>
      </c>
      <c r="O42" s="11"/>
      <c r="P42" s="11"/>
      <c r="Q42" s="71" t="s">
        <v>207</v>
      </c>
      <c r="R42" s="11" t="s">
        <v>36</v>
      </c>
      <c r="S42" s="11" t="s">
        <v>208</v>
      </c>
      <c r="T42" s="34"/>
      <c r="U42" s="11" t="s">
        <v>209</v>
      </c>
      <c r="V42" s="16"/>
      <c r="W42" s="34" t="s">
        <v>39</v>
      </c>
      <c r="X42" s="9">
        <v>1</v>
      </c>
      <c r="Y42" s="86" t="s">
        <v>40</v>
      </c>
      <c r="Z42" s="9">
        <v>2</v>
      </c>
      <c r="AA42" s="34"/>
      <c r="AB42" s="9">
        <v>0</v>
      </c>
      <c r="AC42" s="16"/>
      <c r="AD42" s="9">
        <v>0</v>
      </c>
      <c r="AE42" s="6"/>
    </row>
    <row r="43" ht="34.5" customHeight="1" spans="1:31">
      <c r="A43" s="18"/>
      <c r="B43" s="17" t="s">
        <v>188</v>
      </c>
      <c r="C43" s="17" t="s">
        <v>188</v>
      </c>
      <c r="D43" s="9">
        <v>2.2</v>
      </c>
      <c r="E43" s="9">
        <v>4.4</v>
      </c>
      <c r="F43" s="8">
        <v>1</v>
      </c>
      <c r="G43" s="11">
        <f t="shared" ref="G43:G47" si="6">D43*F43</f>
        <v>2.2</v>
      </c>
      <c r="H43" s="11" t="s">
        <v>33</v>
      </c>
      <c r="I43" s="11" t="s">
        <v>34</v>
      </c>
      <c r="J43" s="11"/>
      <c r="K43" s="11"/>
      <c r="L43" s="11"/>
      <c r="M43" s="11"/>
      <c r="N43" s="11"/>
      <c r="O43" s="11"/>
      <c r="P43" s="11">
        <v>39</v>
      </c>
      <c r="Q43" s="71" t="s">
        <v>210</v>
      </c>
      <c r="R43" s="11" t="s">
        <v>36</v>
      </c>
      <c r="S43" s="11" t="s">
        <v>211</v>
      </c>
      <c r="T43" s="34"/>
      <c r="U43" s="11" t="s">
        <v>212</v>
      </c>
      <c r="V43" s="16"/>
      <c r="W43" s="34" t="s">
        <v>39</v>
      </c>
      <c r="X43" s="9">
        <v>1</v>
      </c>
      <c r="Y43" s="86" t="s">
        <v>40</v>
      </c>
      <c r="Z43" s="9">
        <v>2</v>
      </c>
      <c r="AA43" s="34"/>
      <c r="AB43" s="9">
        <v>0</v>
      </c>
      <c r="AC43" s="16"/>
      <c r="AD43" s="9">
        <v>0</v>
      </c>
      <c r="AE43" s="6"/>
    </row>
    <row r="44" ht="63" customHeight="1" spans="1:31">
      <c r="A44" s="7" t="s">
        <v>213</v>
      </c>
      <c r="B44" s="8" t="s">
        <v>214</v>
      </c>
      <c r="C44" s="8" t="s">
        <v>214</v>
      </c>
      <c r="D44" s="74" t="s">
        <v>215</v>
      </c>
      <c r="E44" s="9">
        <v>22</v>
      </c>
      <c r="F44" s="27">
        <v>2</v>
      </c>
      <c r="G44" s="11">
        <f t="shared" si="6"/>
        <v>22</v>
      </c>
      <c r="H44" s="11" t="s">
        <v>33</v>
      </c>
      <c r="I44" s="11"/>
      <c r="J44" s="11"/>
      <c r="K44" s="11"/>
      <c r="L44" s="11"/>
      <c r="M44" s="33">
        <v>138</v>
      </c>
      <c r="N44" s="11"/>
      <c r="O44" s="11"/>
      <c r="P44" s="11"/>
      <c r="Q44" s="71" t="s">
        <v>216</v>
      </c>
      <c r="R44" s="11" t="s">
        <v>21</v>
      </c>
      <c r="S44" s="11"/>
      <c r="T44" s="34"/>
      <c r="U44" s="11" t="s">
        <v>217</v>
      </c>
      <c r="V44" s="16"/>
      <c r="W44" s="34" t="s">
        <v>39</v>
      </c>
      <c r="X44" s="9">
        <v>1</v>
      </c>
      <c r="Y44" s="11" t="s">
        <v>218</v>
      </c>
      <c r="Z44" s="9">
        <v>1</v>
      </c>
      <c r="AA44" s="9"/>
      <c r="AB44" s="9">
        <v>0</v>
      </c>
      <c r="AC44" s="9"/>
      <c r="AD44" s="9">
        <v>0</v>
      </c>
      <c r="AE44" s="6"/>
    </row>
    <row r="45" ht="30" customHeight="1" spans="1:31">
      <c r="A45" s="18"/>
      <c r="B45" s="8" t="s">
        <v>219</v>
      </c>
      <c r="C45" s="17" t="s">
        <v>220</v>
      </c>
      <c r="D45" s="74" t="s">
        <v>221</v>
      </c>
      <c r="E45" s="9">
        <v>2</v>
      </c>
      <c r="F45" s="27">
        <v>2</v>
      </c>
      <c r="G45" s="11">
        <f t="shared" si="6"/>
        <v>1.7</v>
      </c>
      <c r="H45" s="17" t="s">
        <v>169</v>
      </c>
      <c r="I45" s="11"/>
      <c r="J45" s="33">
        <v>138</v>
      </c>
      <c r="K45" s="11"/>
      <c r="L45" s="11"/>
      <c r="M45" s="11"/>
      <c r="N45" s="11"/>
      <c r="O45" s="11"/>
      <c r="P45" s="11"/>
      <c r="Q45" s="71" t="s">
        <v>222</v>
      </c>
      <c r="R45" s="11" t="s">
        <v>21</v>
      </c>
      <c r="S45" s="11"/>
      <c r="T45" s="34"/>
      <c r="U45" s="11" t="s">
        <v>223</v>
      </c>
      <c r="V45" s="16"/>
      <c r="W45" s="34" t="s">
        <v>39</v>
      </c>
      <c r="X45" s="9">
        <v>0</v>
      </c>
      <c r="Y45" s="9"/>
      <c r="Z45" s="9">
        <v>0</v>
      </c>
      <c r="AA45" s="9"/>
      <c r="AB45" s="9">
        <v>0</v>
      </c>
      <c r="AC45" s="9"/>
      <c r="AD45" s="9">
        <v>0</v>
      </c>
      <c r="AE45" s="6"/>
    </row>
    <row r="46" ht="25.5" customHeight="1" spans="1:31">
      <c r="A46" s="7" t="s">
        <v>224</v>
      </c>
      <c r="B46" s="17" t="s">
        <v>225</v>
      </c>
      <c r="C46" s="17" t="s">
        <v>225</v>
      </c>
      <c r="D46" s="8">
        <v>18.5</v>
      </c>
      <c r="E46" s="8">
        <v>37</v>
      </c>
      <c r="F46" s="8">
        <v>1</v>
      </c>
      <c r="G46" s="11">
        <f t="shared" si="6"/>
        <v>18.5</v>
      </c>
      <c r="H46" s="11" t="s">
        <v>33</v>
      </c>
      <c r="I46" s="11"/>
      <c r="J46" s="11"/>
      <c r="K46" s="11"/>
      <c r="L46" s="11">
        <v>69</v>
      </c>
      <c r="M46" s="11"/>
      <c r="N46" s="11"/>
      <c r="O46" s="11"/>
      <c r="P46" s="11"/>
      <c r="Q46" s="71" t="s">
        <v>226</v>
      </c>
      <c r="R46" s="11" t="s">
        <v>36</v>
      </c>
      <c r="S46" s="11" t="s">
        <v>227</v>
      </c>
      <c r="T46" s="34"/>
      <c r="U46" s="11" t="s">
        <v>228</v>
      </c>
      <c r="V46" s="16"/>
      <c r="W46" s="34" t="s">
        <v>39</v>
      </c>
      <c r="X46" s="9">
        <v>1</v>
      </c>
      <c r="Y46" s="86" t="s">
        <v>40</v>
      </c>
      <c r="Z46" s="9">
        <v>2</v>
      </c>
      <c r="AA46" s="34"/>
      <c r="AB46" s="9">
        <v>0</v>
      </c>
      <c r="AC46" s="16"/>
      <c r="AD46" s="9">
        <v>0</v>
      </c>
      <c r="AE46" s="6"/>
    </row>
    <row r="47" ht="25.5" customHeight="1" spans="1:31">
      <c r="A47" s="18"/>
      <c r="B47" s="17" t="s">
        <v>229</v>
      </c>
      <c r="C47" s="17" t="s">
        <v>229</v>
      </c>
      <c r="D47" s="8">
        <v>1.1</v>
      </c>
      <c r="E47" s="8">
        <v>2.2</v>
      </c>
      <c r="F47" s="8">
        <v>1</v>
      </c>
      <c r="G47" s="11">
        <f t="shared" si="6"/>
        <v>1.1</v>
      </c>
      <c r="H47" s="11" t="s">
        <v>33</v>
      </c>
      <c r="I47" s="11"/>
      <c r="J47" s="11"/>
      <c r="K47" s="11"/>
      <c r="L47" s="11"/>
      <c r="M47" s="11"/>
      <c r="N47" s="11"/>
      <c r="O47" s="11"/>
      <c r="P47" s="11">
        <v>43</v>
      </c>
      <c r="Q47" s="71" t="s">
        <v>230</v>
      </c>
      <c r="R47" s="11" t="s">
        <v>36</v>
      </c>
      <c r="S47" s="11" t="s">
        <v>231</v>
      </c>
      <c r="T47" s="34"/>
      <c r="U47" s="11" t="s">
        <v>232</v>
      </c>
      <c r="V47" s="16"/>
      <c r="W47" s="34" t="s">
        <v>39</v>
      </c>
      <c r="X47" s="9">
        <v>1</v>
      </c>
      <c r="Y47" s="86" t="s">
        <v>40</v>
      </c>
      <c r="Z47" s="9">
        <v>2</v>
      </c>
      <c r="AA47" s="16"/>
      <c r="AB47" s="9">
        <v>0</v>
      </c>
      <c r="AC47" s="16"/>
      <c r="AD47" s="9">
        <v>0</v>
      </c>
      <c r="AE47" s="6"/>
    </row>
    <row r="48" ht="25.5" customHeight="1" spans="1:31">
      <c r="A48" s="7" t="s">
        <v>233</v>
      </c>
      <c r="B48" s="17" t="s">
        <v>225</v>
      </c>
      <c r="C48" s="17" t="s">
        <v>225</v>
      </c>
      <c r="D48" s="8">
        <v>18.5</v>
      </c>
      <c r="E48" s="8">
        <v>37</v>
      </c>
      <c r="F48" s="8">
        <v>1</v>
      </c>
      <c r="G48" s="11">
        <f t="shared" ref="G48:G55" si="7">D48*F48</f>
        <v>18.5</v>
      </c>
      <c r="H48" s="11" t="s">
        <v>33</v>
      </c>
      <c r="I48" s="11"/>
      <c r="J48" s="11"/>
      <c r="K48" s="11"/>
      <c r="L48" s="11">
        <v>69</v>
      </c>
      <c r="M48" s="11"/>
      <c r="N48" s="11"/>
      <c r="O48" s="11"/>
      <c r="P48" s="11"/>
      <c r="Q48" s="71" t="s">
        <v>234</v>
      </c>
      <c r="R48" s="11" t="s">
        <v>36</v>
      </c>
      <c r="S48" s="11" t="s">
        <v>235</v>
      </c>
      <c r="T48" s="34"/>
      <c r="U48" s="11" t="s">
        <v>236</v>
      </c>
      <c r="V48" s="16"/>
      <c r="W48" s="34" t="s">
        <v>39</v>
      </c>
      <c r="X48" s="9">
        <v>1</v>
      </c>
      <c r="Y48" s="86" t="s">
        <v>40</v>
      </c>
      <c r="Z48" s="9">
        <v>2</v>
      </c>
      <c r="AA48" s="34"/>
      <c r="AB48" s="9">
        <v>0</v>
      </c>
      <c r="AC48" s="16"/>
      <c r="AD48" s="9">
        <v>0</v>
      </c>
      <c r="AE48" s="6"/>
    </row>
    <row r="49" ht="25.5" customHeight="1" spans="1:31">
      <c r="A49" s="18"/>
      <c r="B49" s="17" t="s">
        <v>229</v>
      </c>
      <c r="C49" s="17" t="s">
        <v>229</v>
      </c>
      <c r="D49" s="8">
        <v>1.1</v>
      </c>
      <c r="E49" s="8">
        <v>2.2</v>
      </c>
      <c r="F49" s="8">
        <v>1</v>
      </c>
      <c r="G49" s="11">
        <f t="shared" si="7"/>
        <v>1.1</v>
      </c>
      <c r="H49" s="11" t="s">
        <v>33</v>
      </c>
      <c r="I49" s="11"/>
      <c r="J49" s="11"/>
      <c r="K49" s="11"/>
      <c r="L49" s="11"/>
      <c r="M49" s="11"/>
      <c r="N49" s="11"/>
      <c r="O49" s="11"/>
      <c r="P49" s="11">
        <v>43</v>
      </c>
      <c r="Q49" s="71" t="s">
        <v>237</v>
      </c>
      <c r="R49" s="11" t="s">
        <v>36</v>
      </c>
      <c r="S49" s="11" t="s">
        <v>238</v>
      </c>
      <c r="T49" s="34"/>
      <c r="U49" s="11" t="s">
        <v>239</v>
      </c>
      <c r="V49" s="16"/>
      <c r="W49" s="34" t="s">
        <v>39</v>
      </c>
      <c r="X49" s="9">
        <v>1</v>
      </c>
      <c r="Y49" s="86" t="s">
        <v>40</v>
      </c>
      <c r="Z49" s="9">
        <v>2</v>
      </c>
      <c r="AA49" s="16"/>
      <c r="AB49" s="9">
        <v>0</v>
      </c>
      <c r="AC49" s="16"/>
      <c r="AD49" s="9">
        <v>0</v>
      </c>
      <c r="AE49" s="6"/>
    </row>
    <row r="50" ht="25.5" customHeight="1" spans="1:31">
      <c r="A50" s="7" t="s">
        <v>240</v>
      </c>
      <c r="B50" s="17" t="s">
        <v>225</v>
      </c>
      <c r="C50" s="17" t="s">
        <v>225</v>
      </c>
      <c r="D50" s="8">
        <v>18.5</v>
      </c>
      <c r="E50" s="8">
        <v>37</v>
      </c>
      <c r="F50" s="8">
        <v>1</v>
      </c>
      <c r="G50" s="11">
        <f t="shared" si="7"/>
        <v>18.5</v>
      </c>
      <c r="H50" s="11" t="s">
        <v>33</v>
      </c>
      <c r="I50" s="11"/>
      <c r="J50" s="11"/>
      <c r="K50" s="11"/>
      <c r="L50" s="11">
        <v>69</v>
      </c>
      <c r="M50" s="11"/>
      <c r="N50" s="11"/>
      <c r="O50" s="11"/>
      <c r="P50" s="11"/>
      <c r="Q50" s="71" t="s">
        <v>241</v>
      </c>
      <c r="R50" s="11" t="s">
        <v>36</v>
      </c>
      <c r="S50" s="11" t="s">
        <v>242</v>
      </c>
      <c r="T50" s="34"/>
      <c r="U50" s="11" t="s">
        <v>243</v>
      </c>
      <c r="V50" s="16"/>
      <c r="W50" s="34" t="s">
        <v>39</v>
      </c>
      <c r="X50" s="9">
        <v>1</v>
      </c>
      <c r="Y50" s="86" t="s">
        <v>40</v>
      </c>
      <c r="Z50" s="9">
        <v>2</v>
      </c>
      <c r="AA50" s="34"/>
      <c r="AB50" s="9">
        <v>0</v>
      </c>
      <c r="AC50" s="16"/>
      <c r="AD50" s="9">
        <v>0</v>
      </c>
      <c r="AE50" s="6"/>
    </row>
    <row r="51" ht="25.5" customHeight="1" spans="1:31">
      <c r="A51" s="18"/>
      <c r="B51" s="17" t="s">
        <v>229</v>
      </c>
      <c r="C51" s="17" t="s">
        <v>229</v>
      </c>
      <c r="D51" s="8">
        <v>1.1</v>
      </c>
      <c r="E51" s="8">
        <v>2.2</v>
      </c>
      <c r="F51" s="8">
        <v>1</v>
      </c>
      <c r="G51" s="11">
        <f t="shared" si="7"/>
        <v>1.1</v>
      </c>
      <c r="H51" s="11" t="s">
        <v>33</v>
      </c>
      <c r="I51" s="11"/>
      <c r="J51" s="11"/>
      <c r="K51" s="11"/>
      <c r="L51" s="11"/>
      <c r="M51" s="11"/>
      <c r="N51" s="11"/>
      <c r="O51" s="11"/>
      <c r="P51" s="11">
        <v>43</v>
      </c>
      <c r="Q51" s="71" t="s">
        <v>244</v>
      </c>
      <c r="R51" s="11" t="s">
        <v>36</v>
      </c>
      <c r="S51" s="11" t="s">
        <v>245</v>
      </c>
      <c r="T51" s="34"/>
      <c r="U51" s="11" t="s">
        <v>246</v>
      </c>
      <c r="V51" s="16"/>
      <c r="W51" s="34" t="s">
        <v>39</v>
      </c>
      <c r="X51" s="9">
        <v>1</v>
      </c>
      <c r="Y51" s="86" t="s">
        <v>40</v>
      </c>
      <c r="Z51" s="9">
        <v>2</v>
      </c>
      <c r="AA51" s="16"/>
      <c r="AB51" s="9">
        <v>0</v>
      </c>
      <c r="AC51" s="16"/>
      <c r="AD51" s="9">
        <v>0</v>
      </c>
      <c r="AE51" s="6"/>
    </row>
    <row r="52" ht="25.5" customHeight="1" spans="1:31">
      <c r="A52" s="7" t="s">
        <v>247</v>
      </c>
      <c r="B52" s="17" t="s">
        <v>164</v>
      </c>
      <c r="C52" s="17" t="s">
        <v>164</v>
      </c>
      <c r="D52" s="9">
        <v>2.2</v>
      </c>
      <c r="E52" s="9">
        <v>4.4</v>
      </c>
      <c r="F52" s="8">
        <v>1</v>
      </c>
      <c r="G52" s="11">
        <f t="shared" si="7"/>
        <v>2.2</v>
      </c>
      <c r="H52" s="11" t="s">
        <v>33</v>
      </c>
      <c r="I52" s="11"/>
      <c r="J52" s="11"/>
      <c r="K52" s="11"/>
      <c r="L52" s="11"/>
      <c r="M52" s="11"/>
      <c r="N52" s="11"/>
      <c r="O52" s="11">
        <v>28</v>
      </c>
      <c r="P52" s="11"/>
      <c r="Q52" s="81" t="s">
        <v>248</v>
      </c>
      <c r="R52" s="7" t="s">
        <v>21</v>
      </c>
      <c r="S52" s="11"/>
      <c r="T52" s="34"/>
      <c r="U52" s="11"/>
      <c r="V52" s="16"/>
      <c r="W52" s="34"/>
      <c r="X52" s="9">
        <v>0</v>
      </c>
      <c r="Y52" s="86"/>
      <c r="Z52" s="9">
        <v>0</v>
      </c>
      <c r="AA52" s="16"/>
      <c r="AB52" s="9">
        <v>0</v>
      </c>
      <c r="AC52" s="9"/>
      <c r="AD52" s="9">
        <v>0</v>
      </c>
      <c r="AE52" s="6"/>
    </row>
    <row r="53" ht="25.5" customHeight="1" spans="1:31">
      <c r="A53" s="18"/>
      <c r="B53" s="17" t="s">
        <v>168</v>
      </c>
      <c r="C53" s="17" t="s">
        <v>168</v>
      </c>
      <c r="D53" s="8"/>
      <c r="E53" s="8"/>
      <c r="F53" s="8"/>
      <c r="G53" s="11">
        <f t="shared" si="7"/>
        <v>0</v>
      </c>
      <c r="H53" s="17" t="s">
        <v>169</v>
      </c>
      <c r="I53" s="11"/>
      <c r="J53" s="11"/>
      <c r="K53" s="11"/>
      <c r="L53" s="11"/>
      <c r="M53" s="11"/>
      <c r="N53" s="11"/>
      <c r="O53" s="11">
        <v>0</v>
      </c>
      <c r="P53" s="11"/>
      <c r="Q53" s="82"/>
      <c r="R53" s="12"/>
      <c r="S53" s="11"/>
      <c r="T53" s="34"/>
      <c r="U53" s="11"/>
      <c r="V53" s="16"/>
      <c r="W53" s="34"/>
      <c r="X53" s="9">
        <v>0</v>
      </c>
      <c r="Y53" s="86"/>
      <c r="Z53" s="9">
        <v>0</v>
      </c>
      <c r="AA53" s="16"/>
      <c r="AB53" s="9">
        <v>0</v>
      </c>
      <c r="AC53" s="16"/>
      <c r="AD53" s="9">
        <v>0</v>
      </c>
      <c r="AE53" s="6"/>
    </row>
    <row r="54" ht="25.5" customHeight="1" spans="1:31">
      <c r="A54" s="7" t="s">
        <v>249</v>
      </c>
      <c r="B54" s="17" t="s">
        <v>164</v>
      </c>
      <c r="C54" s="17" t="s">
        <v>164</v>
      </c>
      <c r="D54" s="9">
        <v>2.2</v>
      </c>
      <c r="E54" s="9">
        <v>4.4</v>
      </c>
      <c r="F54" s="8">
        <v>1</v>
      </c>
      <c r="G54" s="11">
        <f t="shared" si="7"/>
        <v>2.2</v>
      </c>
      <c r="H54" s="11" t="s">
        <v>33</v>
      </c>
      <c r="I54" s="11"/>
      <c r="J54" s="11"/>
      <c r="K54" s="11"/>
      <c r="L54" s="11"/>
      <c r="M54" s="11"/>
      <c r="N54" s="11"/>
      <c r="O54" s="11">
        <v>28</v>
      </c>
      <c r="P54" s="11"/>
      <c r="Q54" s="82"/>
      <c r="R54" s="12"/>
      <c r="S54" s="11"/>
      <c r="T54" s="34"/>
      <c r="U54" s="11"/>
      <c r="V54" s="16"/>
      <c r="W54" s="34"/>
      <c r="X54" s="9">
        <v>0</v>
      </c>
      <c r="Y54" s="86"/>
      <c r="Z54" s="9">
        <v>0</v>
      </c>
      <c r="AA54" s="16"/>
      <c r="AB54" s="9">
        <v>0</v>
      </c>
      <c r="AC54" s="16"/>
      <c r="AD54" s="9">
        <v>0</v>
      </c>
      <c r="AE54" s="6"/>
    </row>
    <row r="55" ht="25.5" customHeight="1" spans="1:31">
      <c r="A55" s="18"/>
      <c r="B55" s="17" t="s">
        <v>168</v>
      </c>
      <c r="C55" s="17" t="s">
        <v>168</v>
      </c>
      <c r="D55" s="8"/>
      <c r="E55" s="8"/>
      <c r="F55" s="8"/>
      <c r="G55" s="11">
        <f t="shared" si="7"/>
        <v>0</v>
      </c>
      <c r="H55" s="17" t="s">
        <v>169</v>
      </c>
      <c r="I55" s="18"/>
      <c r="J55" s="11"/>
      <c r="K55" s="11"/>
      <c r="L55" s="11"/>
      <c r="M55" s="11"/>
      <c r="N55" s="11"/>
      <c r="O55" s="11">
        <v>0</v>
      </c>
      <c r="P55" s="11"/>
      <c r="Q55" s="82"/>
      <c r="R55" s="12"/>
      <c r="S55" s="11"/>
      <c r="T55" s="34"/>
      <c r="U55" s="11"/>
      <c r="V55" s="16"/>
      <c r="W55" s="34"/>
      <c r="X55" s="9">
        <v>0</v>
      </c>
      <c r="Y55" s="86"/>
      <c r="Z55" s="9">
        <v>0</v>
      </c>
      <c r="AA55" s="16"/>
      <c r="AB55" s="9">
        <v>0</v>
      </c>
      <c r="AC55" s="16"/>
      <c r="AD55" s="9">
        <v>0</v>
      </c>
      <c r="AE55" s="6"/>
    </row>
    <row r="56" ht="30.75" customHeight="1" spans="1:31">
      <c r="A56" s="7" t="s">
        <v>250</v>
      </c>
      <c r="B56" s="17" t="s">
        <v>164</v>
      </c>
      <c r="C56" s="17" t="s">
        <v>164</v>
      </c>
      <c r="D56" s="9">
        <v>2.2</v>
      </c>
      <c r="E56" s="9">
        <v>4.4</v>
      </c>
      <c r="F56" s="8">
        <v>1</v>
      </c>
      <c r="G56" s="11">
        <f t="shared" ref="G56:G57" si="8">D56*F56</f>
        <v>2.2</v>
      </c>
      <c r="H56" s="11" t="s">
        <v>33</v>
      </c>
      <c r="I56" s="11"/>
      <c r="J56" s="11"/>
      <c r="K56" s="11"/>
      <c r="L56" s="11"/>
      <c r="M56" s="11"/>
      <c r="N56" s="11"/>
      <c r="O56" s="11">
        <v>28</v>
      </c>
      <c r="P56" s="11"/>
      <c r="Q56" s="82"/>
      <c r="R56" s="12"/>
      <c r="S56" s="11"/>
      <c r="T56" s="34"/>
      <c r="U56" s="11"/>
      <c r="V56" s="16"/>
      <c r="W56" s="16"/>
      <c r="X56" s="9">
        <v>0</v>
      </c>
      <c r="Y56" s="16"/>
      <c r="Z56" s="9">
        <v>0</v>
      </c>
      <c r="AA56" s="16"/>
      <c r="AB56" s="9">
        <v>0</v>
      </c>
      <c r="AC56" s="16"/>
      <c r="AD56" s="9">
        <v>0</v>
      </c>
      <c r="AE56" s="6"/>
    </row>
    <row r="57" ht="29.25" customHeight="1" spans="1:31">
      <c r="A57" s="18"/>
      <c r="B57" s="17" t="s">
        <v>168</v>
      </c>
      <c r="C57" s="17" t="s">
        <v>168</v>
      </c>
      <c r="D57" s="8"/>
      <c r="E57" s="8"/>
      <c r="F57" s="8"/>
      <c r="G57" s="11">
        <f t="shared" si="8"/>
        <v>0</v>
      </c>
      <c r="H57" s="17" t="s">
        <v>169</v>
      </c>
      <c r="I57" s="11"/>
      <c r="J57" s="11"/>
      <c r="K57" s="11"/>
      <c r="L57" s="11"/>
      <c r="M57" s="11"/>
      <c r="N57" s="11"/>
      <c r="O57" s="11">
        <v>0</v>
      </c>
      <c r="P57" s="11"/>
      <c r="Q57" s="83"/>
      <c r="R57" s="18"/>
      <c r="S57" s="11"/>
      <c r="T57" s="34"/>
      <c r="U57" s="11"/>
      <c r="V57" s="16"/>
      <c r="W57" s="16"/>
      <c r="X57" s="9">
        <v>0</v>
      </c>
      <c r="Y57" s="16"/>
      <c r="Z57" s="9">
        <v>0</v>
      </c>
      <c r="AA57" s="16"/>
      <c r="AB57" s="9">
        <v>0</v>
      </c>
      <c r="AC57" s="16"/>
      <c r="AD57" s="9">
        <v>0</v>
      </c>
      <c r="AE57" s="6"/>
    </row>
    <row r="58" ht="29.25" customHeight="1" spans="1:31">
      <c r="A58" s="12" t="s">
        <v>251</v>
      </c>
      <c r="B58" s="12" t="s">
        <v>251</v>
      </c>
      <c r="C58" s="12" t="s">
        <v>251</v>
      </c>
      <c r="D58" s="8"/>
      <c r="E58" s="8"/>
      <c r="F58" s="8">
        <v>1</v>
      </c>
      <c r="G58" s="11">
        <v>0</v>
      </c>
      <c r="H58" s="17" t="s">
        <v>169</v>
      </c>
      <c r="I58" s="11"/>
      <c r="J58" s="11">
        <v>43</v>
      </c>
      <c r="K58" s="11"/>
      <c r="L58" s="11"/>
      <c r="M58" s="11"/>
      <c r="N58" s="11"/>
      <c r="O58" s="11"/>
      <c r="P58" s="11"/>
      <c r="Q58" s="71" t="s">
        <v>252</v>
      </c>
      <c r="R58" s="44" t="s">
        <v>21</v>
      </c>
      <c r="S58" s="11" t="s">
        <v>253</v>
      </c>
      <c r="T58" s="34"/>
      <c r="U58" s="11" t="s">
        <v>254</v>
      </c>
      <c r="V58" s="16"/>
      <c r="W58" s="34" t="s">
        <v>39</v>
      </c>
      <c r="X58" s="9">
        <v>1</v>
      </c>
      <c r="Y58" s="86" t="s">
        <v>40</v>
      </c>
      <c r="Z58" s="9">
        <v>2</v>
      </c>
      <c r="AA58" s="16"/>
      <c r="AB58" s="9">
        <v>0</v>
      </c>
      <c r="AC58" s="16"/>
      <c r="AD58" s="9">
        <v>0</v>
      </c>
      <c r="AE58" s="6"/>
    </row>
    <row r="59" ht="29.25" customHeight="1" spans="1:31">
      <c r="A59" s="12" t="s">
        <v>255</v>
      </c>
      <c r="B59" s="17" t="s">
        <v>256</v>
      </c>
      <c r="C59" s="17" t="s">
        <v>256</v>
      </c>
      <c r="D59" s="8"/>
      <c r="E59" s="8"/>
      <c r="F59" s="8">
        <v>1</v>
      </c>
      <c r="G59" s="11">
        <v>0</v>
      </c>
      <c r="H59" s="17" t="s">
        <v>169</v>
      </c>
      <c r="I59" s="11"/>
      <c r="J59" s="11">
        <v>106</v>
      </c>
      <c r="K59" s="11"/>
      <c r="L59" s="11"/>
      <c r="M59" s="11"/>
      <c r="N59" s="11"/>
      <c r="O59" s="11"/>
      <c r="P59" s="11"/>
      <c r="Q59" s="71" t="s">
        <v>257</v>
      </c>
      <c r="R59" s="9" t="s">
        <v>21</v>
      </c>
      <c r="S59" s="11" t="s">
        <v>258</v>
      </c>
      <c r="T59" s="34"/>
      <c r="U59" s="11" t="s">
        <v>259</v>
      </c>
      <c r="V59" s="16"/>
      <c r="W59" s="34" t="s">
        <v>39</v>
      </c>
      <c r="X59" s="9">
        <v>1</v>
      </c>
      <c r="Y59" s="86" t="s">
        <v>40</v>
      </c>
      <c r="Z59" s="9">
        <v>2</v>
      </c>
      <c r="AA59" s="16"/>
      <c r="AB59" s="9">
        <v>0</v>
      </c>
      <c r="AC59" s="16"/>
      <c r="AD59" s="9">
        <v>0</v>
      </c>
      <c r="AE59" s="6"/>
    </row>
    <row r="60" ht="29.25" customHeight="1" spans="1:31">
      <c r="A60" s="12" t="s">
        <v>260</v>
      </c>
      <c r="B60" s="17"/>
      <c r="C60" s="17"/>
      <c r="D60" s="8"/>
      <c r="E60" s="8"/>
      <c r="F60" s="8">
        <v>6</v>
      </c>
      <c r="G60" s="11"/>
      <c r="H60" s="17" t="s">
        <v>169</v>
      </c>
      <c r="I60" s="11"/>
      <c r="J60" s="11">
        <v>258</v>
      </c>
      <c r="K60" s="11"/>
      <c r="L60" s="11"/>
      <c r="M60" s="11"/>
      <c r="N60" s="11"/>
      <c r="O60" s="11"/>
      <c r="P60" s="11"/>
      <c r="Q60" s="71"/>
      <c r="R60" s="84"/>
      <c r="S60" s="11"/>
      <c r="T60" s="34"/>
      <c r="U60" s="11"/>
      <c r="V60" s="16"/>
      <c r="W60" s="34"/>
      <c r="X60" s="9"/>
      <c r="Y60" s="86"/>
      <c r="Z60" s="9"/>
      <c r="AA60" s="16"/>
      <c r="AB60" s="9"/>
      <c r="AC60" s="16"/>
      <c r="AD60" s="9"/>
      <c r="AE60" s="6"/>
    </row>
    <row r="61" ht="30.75" customHeight="1" spans="1:31">
      <c r="A61" s="7" t="s">
        <v>261</v>
      </c>
      <c r="B61" s="75" t="s">
        <v>262</v>
      </c>
      <c r="C61" s="75" t="s">
        <v>262</v>
      </c>
      <c r="D61" s="8"/>
      <c r="E61" s="8"/>
      <c r="F61" s="8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71" t="s">
        <v>263</v>
      </c>
      <c r="R61" s="44" t="s">
        <v>21</v>
      </c>
      <c r="S61" s="11"/>
      <c r="T61" s="34"/>
      <c r="U61" s="11"/>
      <c r="V61" s="16"/>
      <c r="W61" s="16"/>
      <c r="X61" s="9">
        <v>0</v>
      </c>
      <c r="Y61" s="16"/>
      <c r="Z61" s="9">
        <v>0</v>
      </c>
      <c r="AA61" s="16"/>
      <c r="AB61" s="9">
        <v>0</v>
      </c>
      <c r="AC61" s="16"/>
      <c r="AD61" s="9">
        <v>0</v>
      </c>
      <c r="AE61" s="6"/>
    </row>
    <row r="62" ht="33.75" customHeight="1" spans="1:31">
      <c r="A62" s="12"/>
      <c r="B62" s="75" t="s">
        <v>264</v>
      </c>
      <c r="C62" s="75" t="s">
        <v>264</v>
      </c>
      <c r="D62" s="8"/>
      <c r="E62" s="8"/>
      <c r="F62" s="8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71" t="s">
        <v>265</v>
      </c>
      <c r="R62" s="9" t="s">
        <v>21</v>
      </c>
      <c r="S62" s="11"/>
      <c r="T62" s="34"/>
      <c r="U62" s="11"/>
      <c r="V62" s="16"/>
      <c r="W62" s="16"/>
      <c r="X62" s="9">
        <v>0</v>
      </c>
      <c r="Y62" s="16"/>
      <c r="Z62" s="9">
        <v>0</v>
      </c>
      <c r="AA62" s="16"/>
      <c r="AB62" s="9">
        <v>0</v>
      </c>
      <c r="AC62" s="16"/>
      <c r="AD62" s="9">
        <v>0</v>
      </c>
      <c r="AE62" s="6"/>
    </row>
    <row r="63" ht="29.25" customHeight="1" spans="1:31">
      <c r="A63" s="12"/>
      <c r="B63" s="75" t="s">
        <v>266</v>
      </c>
      <c r="C63" s="75" t="s">
        <v>266</v>
      </c>
      <c r="D63" s="8"/>
      <c r="E63" s="8"/>
      <c r="F63" s="8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71" t="s">
        <v>267</v>
      </c>
      <c r="R63" s="9" t="s">
        <v>21</v>
      </c>
      <c r="S63" s="11"/>
      <c r="T63" s="34"/>
      <c r="U63" s="11"/>
      <c r="V63" s="16"/>
      <c r="W63" s="16"/>
      <c r="X63" s="9">
        <v>0</v>
      </c>
      <c r="Y63" s="16"/>
      <c r="Z63" s="9">
        <v>0</v>
      </c>
      <c r="AA63" s="16"/>
      <c r="AB63" s="9">
        <v>0</v>
      </c>
      <c r="AC63" s="16"/>
      <c r="AD63" s="9">
        <v>0</v>
      </c>
      <c r="AE63" s="6"/>
    </row>
    <row r="64" ht="31.5" customHeight="1" spans="1:31">
      <c r="A64" s="12"/>
      <c r="B64" s="75" t="s">
        <v>268</v>
      </c>
      <c r="C64" s="75" t="s">
        <v>268</v>
      </c>
      <c r="D64" s="8"/>
      <c r="E64" s="8"/>
      <c r="F64" s="8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71" t="s">
        <v>269</v>
      </c>
      <c r="R64" s="9" t="s">
        <v>21</v>
      </c>
      <c r="S64" s="11"/>
      <c r="T64" s="34"/>
      <c r="U64" s="11"/>
      <c r="V64" s="16"/>
      <c r="W64" s="16"/>
      <c r="X64" s="9">
        <v>0</v>
      </c>
      <c r="Y64" s="16"/>
      <c r="Z64" s="9">
        <v>0</v>
      </c>
      <c r="AA64" s="16"/>
      <c r="AB64" s="9">
        <v>0</v>
      </c>
      <c r="AC64" s="16"/>
      <c r="AD64" s="9">
        <v>0</v>
      </c>
      <c r="AE64" s="6"/>
    </row>
    <row r="65" ht="33" customHeight="1" spans="1:31">
      <c r="A65" s="12"/>
      <c r="B65" s="75" t="s">
        <v>270</v>
      </c>
      <c r="C65" s="75" t="s">
        <v>270</v>
      </c>
      <c r="D65" s="8"/>
      <c r="E65" s="8"/>
      <c r="F65" s="8"/>
      <c r="G65" s="11"/>
      <c r="H65" s="17"/>
      <c r="I65" s="11"/>
      <c r="J65" s="11"/>
      <c r="K65" s="11"/>
      <c r="L65" s="11"/>
      <c r="M65" s="11"/>
      <c r="N65" s="11"/>
      <c r="O65" s="11"/>
      <c r="P65" s="11"/>
      <c r="Q65" s="71" t="s">
        <v>271</v>
      </c>
      <c r="R65" s="9" t="s">
        <v>21</v>
      </c>
      <c r="S65" s="11"/>
      <c r="T65" s="34"/>
      <c r="U65" s="11"/>
      <c r="V65" s="16"/>
      <c r="W65" s="16"/>
      <c r="X65" s="9">
        <v>0</v>
      </c>
      <c r="Y65" s="16"/>
      <c r="Z65" s="9">
        <v>0</v>
      </c>
      <c r="AA65" s="16"/>
      <c r="AB65" s="9">
        <v>0</v>
      </c>
      <c r="AC65" s="16"/>
      <c r="AD65" s="9">
        <v>0</v>
      </c>
      <c r="AE65" s="6"/>
    </row>
    <row r="66" ht="25.5" customHeight="1" spans="1:31">
      <c r="A66" s="12"/>
      <c r="B66" s="75" t="s">
        <v>272</v>
      </c>
      <c r="C66" s="75" t="s">
        <v>272</v>
      </c>
      <c r="D66" s="8"/>
      <c r="E66" s="8"/>
      <c r="F66" s="8"/>
      <c r="G66" s="11"/>
      <c r="H66" s="17"/>
      <c r="I66" s="11"/>
      <c r="J66" s="11"/>
      <c r="K66" s="11"/>
      <c r="L66" s="11"/>
      <c r="M66" s="11"/>
      <c r="N66" s="11"/>
      <c r="O66" s="11"/>
      <c r="P66" s="11"/>
      <c r="Q66" s="71" t="s">
        <v>273</v>
      </c>
      <c r="R66" s="9" t="s">
        <v>21</v>
      </c>
      <c r="S66" s="11"/>
      <c r="T66" s="34"/>
      <c r="U66" s="11"/>
      <c r="V66" s="16"/>
      <c r="W66" s="16"/>
      <c r="X66" s="9">
        <v>0</v>
      </c>
      <c r="Y66" s="16"/>
      <c r="Z66" s="9">
        <v>0</v>
      </c>
      <c r="AA66" s="16"/>
      <c r="AB66" s="9">
        <v>0</v>
      </c>
      <c r="AC66" s="16"/>
      <c r="AD66" s="9">
        <v>0</v>
      </c>
      <c r="AE66" s="6"/>
    </row>
    <row r="67" ht="28.5" customHeight="1" spans="1:31">
      <c r="A67" s="12"/>
      <c r="B67" s="75" t="s">
        <v>274</v>
      </c>
      <c r="C67" s="75" t="s">
        <v>275</v>
      </c>
      <c r="D67" s="8"/>
      <c r="E67" s="8"/>
      <c r="F67" s="8"/>
      <c r="G67" s="11"/>
      <c r="H67" s="17"/>
      <c r="I67" s="11"/>
      <c r="J67" s="11"/>
      <c r="K67" s="11"/>
      <c r="L67" s="11"/>
      <c r="M67" s="11"/>
      <c r="N67" s="11"/>
      <c r="O67" s="11"/>
      <c r="P67" s="11"/>
      <c r="Q67" s="71" t="s">
        <v>276</v>
      </c>
      <c r="R67" s="9" t="s">
        <v>21</v>
      </c>
      <c r="S67" s="11"/>
      <c r="T67" s="34"/>
      <c r="U67" s="11"/>
      <c r="V67" s="16"/>
      <c r="W67" s="16"/>
      <c r="X67" s="9">
        <v>0</v>
      </c>
      <c r="Y67" s="16"/>
      <c r="Z67" s="9">
        <v>0</v>
      </c>
      <c r="AA67" s="16"/>
      <c r="AB67" s="9">
        <v>0</v>
      </c>
      <c r="AC67" s="16"/>
      <c r="AD67" s="9">
        <v>0</v>
      </c>
      <c r="AE67" s="6"/>
    </row>
    <row r="68" ht="28.5" customHeight="1" spans="1:31">
      <c r="A68" s="12"/>
      <c r="B68" s="75" t="s">
        <v>277</v>
      </c>
      <c r="C68" s="75" t="s">
        <v>277</v>
      </c>
      <c r="D68" s="8"/>
      <c r="E68" s="8"/>
      <c r="F68" s="8"/>
      <c r="G68" s="11"/>
      <c r="H68" s="17"/>
      <c r="I68" s="11"/>
      <c r="J68" s="11"/>
      <c r="K68" s="11"/>
      <c r="L68" s="11"/>
      <c r="M68" s="11"/>
      <c r="N68" s="11"/>
      <c r="O68" s="11"/>
      <c r="P68" s="11"/>
      <c r="Q68" s="71" t="s">
        <v>278</v>
      </c>
      <c r="R68" s="9" t="s">
        <v>21</v>
      </c>
      <c r="S68" s="11"/>
      <c r="T68" s="34"/>
      <c r="U68" s="11"/>
      <c r="V68" s="16"/>
      <c r="W68" s="16"/>
      <c r="X68" s="9">
        <v>0</v>
      </c>
      <c r="Y68" s="16"/>
      <c r="Z68" s="9">
        <v>0</v>
      </c>
      <c r="AA68" s="16"/>
      <c r="AB68" s="9">
        <v>0</v>
      </c>
      <c r="AC68" s="16"/>
      <c r="AD68" s="9">
        <v>0</v>
      </c>
      <c r="AE68" s="6"/>
    </row>
    <row r="69" ht="25.5" customHeight="1" spans="1:31">
      <c r="A69" s="18"/>
      <c r="B69" s="87" t="s">
        <v>279</v>
      </c>
      <c r="C69" s="87" t="s">
        <v>279</v>
      </c>
      <c r="D69" s="8"/>
      <c r="E69" s="8"/>
      <c r="F69" s="8"/>
      <c r="G69" s="11"/>
      <c r="H69" s="17"/>
      <c r="I69" s="11"/>
      <c r="J69" s="11"/>
      <c r="K69" s="11"/>
      <c r="L69" s="11"/>
      <c r="M69" s="11"/>
      <c r="N69" s="11"/>
      <c r="O69" s="11"/>
      <c r="P69" s="11"/>
      <c r="Q69" s="71" t="s">
        <v>280</v>
      </c>
      <c r="R69" s="9" t="s">
        <v>21</v>
      </c>
      <c r="S69" s="11"/>
      <c r="T69" s="34"/>
      <c r="U69" s="11"/>
      <c r="V69" s="16"/>
      <c r="W69" s="16"/>
      <c r="X69" s="9">
        <v>0</v>
      </c>
      <c r="Y69" s="16"/>
      <c r="Z69" s="9">
        <v>0</v>
      </c>
      <c r="AA69" s="16"/>
      <c r="AB69" s="9">
        <v>0</v>
      </c>
      <c r="AC69" s="16"/>
      <c r="AD69" s="9">
        <v>0</v>
      </c>
      <c r="AE69" s="6"/>
    </row>
    <row r="70" ht="52.5" customHeight="1" spans="1:31">
      <c r="A70" s="18"/>
      <c r="B70" s="75" t="s">
        <v>281</v>
      </c>
      <c r="C70" s="75" t="s">
        <v>281</v>
      </c>
      <c r="D70" s="8"/>
      <c r="E70" s="8"/>
      <c r="F70" s="8"/>
      <c r="G70" s="11"/>
      <c r="H70" s="17"/>
      <c r="I70" s="11"/>
      <c r="J70" s="11"/>
      <c r="K70" s="11"/>
      <c r="L70" s="11"/>
      <c r="M70" s="11"/>
      <c r="N70" s="11"/>
      <c r="O70" s="11"/>
      <c r="P70" s="11"/>
      <c r="Q70" s="71" t="s">
        <v>282</v>
      </c>
      <c r="R70" s="9" t="s">
        <v>21</v>
      </c>
      <c r="S70" s="11"/>
      <c r="T70" s="34"/>
      <c r="U70" s="11"/>
      <c r="V70" s="16"/>
      <c r="W70" s="16"/>
      <c r="X70" s="9">
        <v>0</v>
      </c>
      <c r="Y70" s="16"/>
      <c r="Z70" s="9">
        <v>0</v>
      </c>
      <c r="AA70" s="16"/>
      <c r="AB70" s="9">
        <v>0</v>
      </c>
      <c r="AC70" s="16"/>
      <c r="AD70" s="9">
        <v>0</v>
      </c>
      <c r="AE70" s="6"/>
    </row>
    <row r="71" ht="38.25" customHeight="1" spans="1:31">
      <c r="A71" s="18"/>
      <c r="B71" s="75" t="s">
        <v>283</v>
      </c>
      <c r="C71" s="75" t="s">
        <v>283</v>
      </c>
      <c r="D71" s="8"/>
      <c r="E71" s="8"/>
      <c r="F71" s="8"/>
      <c r="G71" s="11"/>
      <c r="H71" s="17"/>
      <c r="I71" s="11"/>
      <c r="J71" s="11"/>
      <c r="K71" s="11"/>
      <c r="L71" s="11"/>
      <c r="M71" s="11"/>
      <c r="N71" s="11"/>
      <c r="O71" s="11"/>
      <c r="P71" s="11"/>
      <c r="Q71" s="71" t="s">
        <v>284</v>
      </c>
      <c r="R71" s="9" t="s">
        <v>21</v>
      </c>
      <c r="S71" s="11"/>
      <c r="T71" s="34"/>
      <c r="U71" s="11"/>
      <c r="V71" s="16"/>
      <c r="W71" s="16"/>
      <c r="X71" s="9">
        <v>0</v>
      </c>
      <c r="Y71" s="16"/>
      <c r="Z71" s="9">
        <v>0</v>
      </c>
      <c r="AA71" s="16"/>
      <c r="AB71" s="9">
        <v>0</v>
      </c>
      <c r="AC71" s="16"/>
      <c r="AD71" s="9">
        <v>0</v>
      </c>
      <c r="AE71" s="6"/>
    </row>
    <row r="72" ht="37.5" customHeight="1" spans="1:31">
      <c r="A72" s="18"/>
      <c r="B72" s="75" t="s">
        <v>285</v>
      </c>
      <c r="C72" s="75" t="s">
        <v>285</v>
      </c>
      <c r="D72" s="8"/>
      <c r="E72" s="8"/>
      <c r="F72" s="8"/>
      <c r="G72" s="11"/>
      <c r="H72" s="17"/>
      <c r="I72" s="11"/>
      <c r="J72" s="11"/>
      <c r="K72" s="11"/>
      <c r="L72" s="11"/>
      <c r="M72" s="11"/>
      <c r="N72" s="11"/>
      <c r="O72" s="11"/>
      <c r="P72" s="11"/>
      <c r="Q72" s="71" t="s">
        <v>286</v>
      </c>
      <c r="R72" s="9" t="s">
        <v>21</v>
      </c>
      <c r="S72" s="11"/>
      <c r="T72" s="34"/>
      <c r="U72" s="11"/>
      <c r="V72" s="16"/>
      <c r="W72" s="16"/>
      <c r="X72" s="9">
        <v>0</v>
      </c>
      <c r="Y72" s="16"/>
      <c r="Z72" s="9">
        <v>0</v>
      </c>
      <c r="AA72" s="16"/>
      <c r="AB72" s="9">
        <v>0</v>
      </c>
      <c r="AC72" s="16"/>
      <c r="AD72" s="9">
        <v>0</v>
      </c>
      <c r="AE72" s="6"/>
    </row>
    <row r="73" ht="43.5" customHeight="1" spans="1:31">
      <c r="A73" s="18"/>
      <c r="B73" s="75" t="s">
        <v>287</v>
      </c>
      <c r="C73" s="75" t="s">
        <v>287</v>
      </c>
      <c r="D73" s="8"/>
      <c r="E73" s="8"/>
      <c r="F73" s="8"/>
      <c r="G73" s="11"/>
      <c r="H73" s="17"/>
      <c r="I73" s="11"/>
      <c r="J73" s="11"/>
      <c r="K73" s="11"/>
      <c r="L73" s="11"/>
      <c r="M73" s="11"/>
      <c r="N73" s="11"/>
      <c r="O73" s="11"/>
      <c r="P73" s="11"/>
      <c r="Q73" s="71" t="s">
        <v>288</v>
      </c>
      <c r="R73" s="9" t="s">
        <v>21</v>
      </c>
      <c r="S73" s="11"/>
      <c r="T73" s="34"/>
      <c r="U73" s="11"/>
      <c r="V73" s="16"/>
      <c r="W73" s="16"/>
      <c r="X73" s="9">
        <v>0</v>
      </c>
      <c r="Y73" s="16"/>
      <c r="Z73" s="9">
        <v>0</v>
      </c>
      <c r="AA73" s="16"/>
      <c r="AB73" s="9">
        <v>0</v>
      </c>
      <c r="AC73" s="16"/>
      <c r="AD73" s="9">
        <v>0</v>
      </c>
      <c r="AE73" s="6"/>
    </row>
    <row r="74" ht="37.5" customHeight="1" spans="1:31">
      <c r="A74" s="18"/>
      <c r="B74" s="75" t="s">
        <v>289</v>
      </c>
      <c r="C74" s="75" t="s">
        <v>289</v>
      </c>
      <c r="D74" s="8"/>
      <c r="E74" s="8"/>
      <c r="F74" s="8"/>
      <c r="G74" s="11"/>
      <c r="H74" s="17"/>
      <c r="I74" s="11"/>
      <c r="J74" s="11"/>
      <c r="K74" s="11"/>
      <c r="L74" s="11"/>
      <c r="M74" s="11"/>
      <c r="N74" s="11"/>
      <c r="O74" s="11"/>
      <c r="P74" s="11"/>
      <c r="Q74" s="71" t="s">
        <v>290</v>
      </c>
      <c r="R74" s="9" t="s">
        <v>21</v>
      </c>
      <c r="S74" s="11"/>
      <c r="T74" s="34"/>
      <c r="U74" s="11"/>
      <c r="V74" s="16"/>
      <c r="W74" s="16"/>
      <c r="X74" s="9">
        <v>0</v>
      </c>
      <c r="Y74" s="16"/>
      <c r="Z74" s="9">
        <v>0</v>
      </c>
      <c r="AA74" s="16"/>
      <c r="AB74" s="9">
        <v>0</v>
      </c>
      <c r="AC74" s="16"/>
      <c r="AD74" s="9">
        <v>0</v>
      </c>
      <c r="AE74" s="6"/>
    </row>
    <row r="75" ht="45" customHeight="1" spans="1:31">
      <c r="A75" s="18"/>
      <c r="B75" s="75" t="s">
        <v>291</v>
      </c>
      <c r="C75" s="75" t="s">
        <v>291</v>
      </c>
      <c r="D75" s="8"/>
      <c r="E75" s="8"/>
      <c r="F75" s="8"/>
      <c r="G75" s="11"/>
      <c r="H75" s="17"/>
      <c r="I75" s="11"/>
      <c r="J75" s="11"/>
      <c r="K75" s="11"/>
      <c r="L75" s="11"/>
      <c r="M75" s="11"/>
      <c r="N75" s="11"/>
      <c r="O75" s="11"/>
      <c r="P75" s="11"/>
      <c r="Q75" s="71" t="s">
        <v>292</v>
      </c>
      <c r="R75" s="9" t="s">
        <v>21</v>
      </c>
      <c r="S75" s="11"/>
      <c r="T75" s="34"/>
      <c r="U75" s="11"/>
      <c r="V75" s="16"/>
      <c r="W75" s="16"/>
      <c r="X75" s="9">
        <v>0</v>
      </c>
      <c r="Y75" s="16"/>
      <c r="Z75" s="9">
        <v>0</v>
      </c>
      <c r="AA75" s="16"/>
      <c r="AB75" s="9">
        <v>0</v>
      </c>
      <c r="AC75" s="16"/>
      <c r="AD75" s="9">
        <v>0</v>
      </c>
      <c r="AE75" s="6"/>
    </row>
    <row r="76" ht="37.5" customHeight="1" spans="1:31">
      <c r="A76" s="18"/>
      <c r="B76" s="75" t="s">
        <v>293</v>
      </c>
      <c r="C76" s="75" t="s">
        <v>293</v>
      </c>
      <c r="D76" s="8"/>
      <c r="E76" s="8"/>
      <c r="F76" s="8"/>
      <c r="G76" s="11"/>
      <c r="H76" s="17"/>
      <c r="I76" s="11"/>
      <c r="J76" s="11"/>
      <c r="K76" s="11"/>
      <c r="L76" s="11"/>
      <c r="M76" s="11"/>
      <c r="N76" s="11"/>
      <c r="O76" s="11"/>
      <c r="P76" s="11"/>
      <c r="Q76" s="71" t="s">
        <v>294</v>
      </c>
      <c r="R76" s="9" t="s">
        <v>21</v>
      </c>
      <c r="S76" s="11"/>
      <c r="T76" s="34"/>
      <c r="U76" s="11"/>
      <c r="V76" s="16"/>
      <c r="W76" s="16"/>
      <c r="X76" s="9">
        <v>0</v>
      </c>
      <c r="Y76" s="16"/>
      <c r="Z76" s="9">
        <v>0</v>
      </c>
      <c r="AA76" s="16"/>
      <c r="AB76" s="9">
        <v>0</v>
      </c>
      <c r="AC76" s="16"/>
      <c r="AD76" s="9">
        <v>0</v>
      </c>
      <c r="AE76" s="6"/>
    </row>
    <row r="77" ht="25.5" customHeight="1" spans="1:31">
      <c r="A77" s="18"/>
      <c r="B77" s="17"/>
      <c r="C77" s="17"/>
      <c r="D77" s="8"/>
      <c r="E77" s="8"/>
      <c r="F77" s="8"/>
      <c r="G77" s="11"/>
      <c r="H77" s="17"/>
      <c r="I77" s="11"/>
      <c r="J77" s="11"/>
      <c r="K77" s="11"/>
      <c r="L77" s="11"/>
      <c r="M77" s="11"/>
      <c r="N77" s="11"/>
      <c r="O77" s="11"/>
      <c r="P77" s="11"/>
      <c r="Q77" s="11"/>
      <c r="R77" s="9"/>
      <c r="S77" s="11"/>
      <c r="T77" s="34"/>
      <c r="U77" s="11"/>
      <c r="V77" s="16"/>
      <c r="W77" s="16"/>
      <c r="X77" s="9">
        <v>0</v>
      </c>
      <c r="Y77" s="16"/>
      <c r="Z77" s="9">
        <v>0</v>
      </c>
      <c r="AA77" s="16"/>
      <c r="AB77" s="9">
        <v>0</v>
      </c>
      <c r="AC77" s="16"/>
      <c r="AD77" s="9">
        <v>0</v>
      </c>
      <c r="AE77" s="6"/>
    </row>
    <row r="78" ht="25.5" customHeight="1" spans="1:31">
      <c r="A78" s="18"/>
      <c r="B78" s="17"/>
      <c r="C78" s="17"/>
      <c r="D78" s="8"/>
      <c r="E78" s="8"/>
      <c r="F78" s="8"/>
      <c r="G78" s="11"/>
      <c r="H78" s="17"/>
      <c r="I78" s="11"/>
      <c r="J78" s="11"/>
      <c r="K78" s="11"/>
      <c r="L78" s="11"/>
      <c r="M78" s="11"/>
      <c r="N78" s="11"/>
      <c r="O78" s="11"/>
      <c r="P78" s="11"/>
      <c r="Q78" s="11"/>
      <c r="R78" s="9"/>
      <c r="S78" s="11"/>
      <c r="T78" s="34"/>
      <c r="U78" s="11"/>
      <c r="V78" s="16"/>
      <c r="W78" s="16"/>
      <c r="X78" s="9">
        <v>0</v>
      </c>
      <c r="Y78" s="16"/>
      <c r="Z78" s="9">
        <v>0</v>
      </c>
      <c r="AA78" s="16"/>
      <c r="AB78" s="9">
        <v>0</v>
      </c>
      <c r="AC78" s="16"/>
      <c r="AD78" s="9">
        <v>0</v>
      </c>
      <c r="AE78" s="6"/>
    </row>
    <row r="79" ht="25.5" customHeight="1" spans="1:31">
      <c r="A79" s="11" t="s">
        <v>295</v>
      </c>
      <c r="B79" s="9"/>
      <c r="C79" s="9"/>
      <c r="D79" s="33"/>
      <c r="E79" s="9"/>
      <c r="F79" s="9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34"/>
      <c r="U79" s="11"/>
      <c r="V79" s="16"/>
      <c r="W79" s="16"/>
      <c r="X79" s="9">
        <f>SUM(X6:X78)</f>
        <v>53</v>
      </c>
      <c r="Y79" s="9"/>
      <c r="Z79" s="9">
        <f>SUM(Z6:Z78)</f>
        <v>102</v>
      </c>
      <c r="AA79" s="9"/>
      <c r="AB79" s="9">
        <f>SUM(AB6:AB78)</f>
        <v>2</v>
      </c>
      <c r="AC79" s="9"/>
      <c r="AD79" s="9">
        <f>SUM(AD6:AD78)</f>
        <v>1</v>
      </c>
      <c r="AE79" s="6"/>
    </row>
    <row r="80" ht="18.75" spans="1:31">
      <c r="A80" s="88" t="s">
        <v>296</v>
      </c>
      <c r="B80" s="88"/>
      <c r="C80" s="88"/>
      <c r="D80" s="88"/>
      <c r="E80" s="88"/>
      <c r="F80" s="88"/>
      <c r="G80" s="88">
        <f>SUM(G7:G79)</f>
        <v>379.073</v>
      </c>
      <c r="H80" s="88" t="s">
        <v>297</v>
      </c>
      <c r="I80" s="90" t="s">
        <v>298</v>
      </c>
      <c r="J80" s="88">
        <f t="shared" ref="J80:O80" si="9">SUM(J7:J79)</f>
        <v>588</v>
      </c>
      <c r="K80" s="88">
        <f t="shared" si="9"/>
        <v>296</v>
      </c>
      <c r="L80" s="88">
        <f t="shared" si="9"/>
        <v>707</v>
      </c>
      <c r="M80" s="88">
        <f t="shared" si="9"/>
        <v>536</v>
      </c>
      <c r="N80" s="88">
        <f t="shared" si="9"/>
        <v>354</v>
      </c>
      <c r="O80" s="88">
        <f t="shared" si="9"/>
        <v>84</v>
      </c>
      <c r="P80" s="88">
        <f>SUM(P17:P79)</f>
        <v>617</v>
      </c>
      <c r="Q80" s="90"/>
      <c r="R80" s="90"/>
      <c r="S80" s="90"/>
      <c r="T80" s="92"/>
      <c r="U80" s="90"/>
      <c r="V80" s="92"/>
      <c r="W80" s="92"/>
      <c r="X80" s="92"/>
      <c r="Y80" s="92"/>
      <c r="Z80" s="92"/>
      <c r="AA80" s="92"/>
      <c r="AB80" s="92"/>
      <c r="AC80" s="92"/>
      <c r="AD80" s="92"/>
      <c r="AE80" s="6"/>
    </row>
    <row r="81" spans="1:31">
      <c r="A81" s="6"/>
      <c r="B81" s="6"/>
      <c r="C81" s="6"/>
      <c r="D81" s="6"/>
      <c r="E81" s="6"/>
      <c r="F81" s="6"/>
      <c r="G81" s="6"/>
      <c r="H81" s="6"/>
      <c r="I81" s="6"/>
      <c r="J81" s="6">
        <v>1.1</v>
      </c>
      <c r="K81" s="6">
        <v>1.1</v>
      </c>
      <c r="L81" s="6">
        <v>1.1</v>
      </c>
      <c r="M81" s="6">
        <v>1.1</v>
      </c>
      <c r="N81" s="6">
        <v>1.1</v>
      </c>
      <c r="O81" s="6">
        <v>1.1</v>
      </c>
      <c r="P81" s="6">
        <v>1.1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ht="18.75" spans="1:31">
      <c r="A82" s="67" t="s">
        <v>299</v>
      </c>
      <c r="B82" s="6"/>
      <c r="C82" s="6"/>
      <c r="D82" s="6"/>
      <c r="E82" s="6"/>
      <c r="F82" s="6"/>
      <c r="G82" s="6"/>
      <c r="H82" s="6"/>
      <c r="I82" s="6"/>
      <c r="J82" s="91">
        <f t="shared" ref="J82:P82" si="10">J80*J81</f>
        <v>646.8</v>
      </c>
      <c r="K82" s="91">
        <f t="shared" si="10"/>
        <v>325.6</v>
      </c>
      <c r="L82" s="91">
        <f t="shared" si="10"/>
        <v>777.7</v>
      </c>
      <c r="M82" s="91">
        <f t="shared" si="10"/>
        <v>589.6</v>
      </c>
      <c r="N82" s="91">
        <f t="shared" si="10"/>
        <v>389.4</v>
      </c>
      <c r="O82" s="91">
        <f t="shared" si="10"/>
        <v>92.4</v>
      </c>
      <c r="P82" s="91">
        <f t="shared" si="10"/>
        <v>678.7</v>
      </c>
      <c r="Q82" s="6"/>
      <c r="R82" s="6"/>
      <c r="S82" s="6"/>
      <c r="T82" s="6"/>
      <c r="U82" s="6"/>
      <c r="V82" s="6"/>
      <c r="W82" s="6"/>
      <c r="X82" s="23">
        <v>105</v>
      </c>
      <c r="Y82" s="23"/>
      <c r="Z82" s="23">
        <v>204</v>
      </c>
      <c r="AA82" s="23"/>
      <c r="AB82" s="23">
        <v>31</v>
      </c>
      <c r="AC82" s="23"/>
      <c r="AD82" s="23">
        <v>1</v>
      </c>
      <c r="AE82" s="6"/>
    </row>
    <row r="83" spans="1:1">
      <c r="A83" s="89" t="s">
        <v>300</v>
      </c>
    </row>
  </sheetData>
  <mergeCells count="40">
    <mergeCell ref="A1:AE1"/>
    <mergeCell ref="J2:P2"/>
    <mergeCell ref="W2:X2"/>
    <mergeCell ref="Y2:Z2"/>
    <mergeCell ref="AA2:AB2"/>
    <mergeCell ref="AC2:AD2"/>
    <mergeCell ref="B3:C3"/>
    <mergeCell ref="Q3:R3"/>
    <mergeCell ref="S3:T3"/>
    <mergeCell ref="U3:V3"/>
    <mergeCell ref="B4:C4"/>
    <mergeCell ref="B5:C5"/>
    <mergeCell ref="A80:F80"/>
    <mergeCell ref="A6:A13"/>
    <mergeCell ref="A14:A16"/>
    <mergeCell ref="A17:A18"/>
    <mergeCell ref="A19:A20"/>
    <mergeCell ref="A21:A23"/>
    <mergeCell ref="A24:A25"/>
    <mergeCell ref="A30:A31"/>
    <mergeCell ref="A32:A33"/>
    <mergeCell ref="A34:A35"/>
    <mergeCell ref="A37:A40"/>
    <mergeCell ref="A41:A43"/>
    <mergeCell ref="A44:A45"/>
    <mergeCell ref="A46:A47"/>
    <mergeCell ref="A48:A49"/>
    <mergeCell ref="A50:A51"/>
    <mergeCell ref="A52:A53"/>
    <mergeCell ref="A54:A55"/>
    <mergeCell ref="A56:A57"/>
    <mergeCell ref="A61:A69"/>
    <mergeCell ref="B6:B7"/>
    <mergeCell ref="B8:B9"/>
    <mergeCell ref="B10:B11"/>
    <mergeCell ref="B12:B13"/>
    <mergeCell ref="B14:B15"/>
    <mergeCell ref="Q52:Q57"/>
    <mergeCell ref="R52:R57"/>
    <mergeCell ref="AE37:AE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3"/>
  <sheetViews>
    <sheetView zoomScale="85" zoomScaleNormal="85" workbookViewId="0">
      <pane ySplit="3" topLeftCell="A65" activePane="bottomLeft" state="frozen"/>
      <selection/>
      <selection pane="bottomLeft" activeCell="G28" sqref="G28"/>
    </sheetView>
  </sheetViews>
  <sheetFormatPr defaultColWidth="9" defaultRowHeight="13.5"/>
  <cols>
    <col min="1" max="1" width="6.53333333333333" customWidth="1"/>
    <col min="2" max="2" width="15.375" customWidth="1"/>
    <col min="3" max="3" width="11.9" customWidth="1"/>
    <col min="4" max="4" width="5.375" customWidth="1"/>
    <col min="5" max="5" width="7.25" customWidth="1"/>
    <col min="6" max="6" width="9.41666666666667" customWidth="1"/>
    <col min="7" max="7" width="7.35" customWidth="1"/>
    <col min="8" max="8" width="8.675" customWidth="1"/>
    <col min="9" max="10" width="10.8833333333333" customWidth="1"/>
    <col min="11" max="12" width="10.4333333333333" customWidth="1"/>
    <col min="13" max="13" width="14" customWidth="1"/>
    <col min="14" max="14" width="5.875" customWidth="1"/>
    <col min="15" max="15" width="5" customWidth="1"/>
  </cols>
  <sheetData>
    <row r="1" ht="27" spans="1:23">
      <c r="A1" s="2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8"/>
      <c r="Q1" s="36"/>
      <c r="R1" s="36"/>
      <c r="S1" s="36"/>
      <c r="T1" s="36"/>
      <c r="U1" s="36"/>
      <c r="V1" s="36"/>
      <c r="W1" s="36"/>
    </row>
    <row r="2" ht="27" spans="1:24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2"/>
      <c r="N2" s="2"/>
      <c r="O2" s="2"/>
      <c r="P2" s="29" t="s">
        <v>2</v>
      </c>
      <c r="Q2" s="37"/>
      <c r="R2" s="38" t="s">
        <v>3</v>
      </c>
      <c r="S2" s="39"/>
      <c r="T2" s="40" t="s">
        <v>4</v>
      </c>
      <c r="U2" s="41"/>
      <c r="V2" s="32" t="s">
        <v>5</v>
      </c>
      <c r="W2" s="32"/>
      <c r="X2" s="6"/>
    </row>
    <row r="3" ht="40.5" spans="1:24">
      <c r="A3" s="4" t="s">
        <v>6</v>
      </c>
      <c r="B3" s="4" t="s">
        <v>7</v>
      </c>
      <c r="C3" s="4"/>
      <c r="D3" s="4" t="s">
        <v>10</v>
      </c>
      <c r="E3" s="4" t="s">
        <v>302</v>
      </c>
      <c r="F3" s="5" t="s">
        <v>303</v>
      </c>
      <c r="G3" s="6" t="s">
        <v>304</v>
      </c>
      <c r="H3" s="5" t="s">
        <v>305</v>
      </c>
      <c r="I3" s="5" t="s">
        <v>306</v>
      </c>
      <c r="J3" s="6" t="s">
        <v>307</v>
      </c>
      <c r="K3" s="6" t="s">
        <v>308</v>
      </c>
      <c r="L3" s="6" t="s">
        <v>309</v>
      </c>
      <c r="M3" s="30" t="s">
        <v>23</v>
      </c>
      <c r="N3" s="31"/>
      <c r="O3" s="30" t="s">
        <v>310</v>
      </c>
      <c r="P3" s="32" t="s">
        <v>24</v>
      </c>
      <c r="Q3" s="32" t="s">
        <v>10</v>
      </c>
      <c r="R3" s="32" t="s">
        <v>24</v>
      </c>
      <c r="S3" s="32" t="s">
        <v>10</v>
      </c>
      <c r="T3" s="32" t="s">
        <v>24</v>
      </c>
      <c r="U3" s="32" t="s">
        <v>10</v>
      </c>
      <c r="V3" s="32" t="s">
        <v>24</v>
      </c>
      <c r="W3" s="32" t="s">
        <v>10</v>
      </c>
      <c r="X3" s="42" t="s">
        <v>279</v>
      </c>
    </row>
    <row r="4" ht="38.25" customHeight="1" spans="1:24">
      <c r="A4" s="7" t="s">
        <v>311</v>
      </c>
      <c r="B4" s="8" t="s">
        <v>312</v>
      </c>
      <c r="C4" s="9" t="s">
        <v>313</v>
      </c>
      <c r="D4" s="9">
        <v>2</v>
      </c>
      <c r="E4" s="10" t="s">
        <v>314</v>
      </c>
      <c r="F4" s="5"/>
      <c r="G4" s="11"/>
      <c r="H4" s="5"/>
      <c r="I4" s="5"/>
      <c r="J4" s="11"/>
      <c r="K4" s="11"/>
      <c r="L4" s="11"/>
      <c r="M4" s="11" t="s">
        <v>315</v>
      </c>
      <c r="N4" s="11"/>
      <c r="O4" s="26"/>
      <c r="P4" s="11" t="s">
        <v>39</v>
      </c>
      <c r="Q4" s="9">
        <v>2</v>
      </c>
      <c r="R4" s="11" t="s">
        <v>316</v>
      </c>
      <c r="S4" s="9">
        <v>2</v>
      </c>
      <c r="T4" s="16"/>
      <c r="U4" s="9">
        <v>0</v>
      </c>
      <c r="V4" s="16"/>
      <c r="W4" s="9">
        <v>0</v>
      </c>
      <c r="X4" s="6"/>
    </row>
    <row r="5" ht="38.25" customHeight="1" spans="1:24">
      <c r="A5" s="12"/>
      <c r="B5" s="8" t="s">
        <v>317</v>
      </c>
      <c r="C5" s="9" t="s">
        <v>313</v>
      </c>
      <c r="D5" s="9">
        <v>1</v>
      </c>
      <c r="E5" s="10" t="s">
        <v>314</v>
      </c>
      <c r="F5" s="11"/>
      <c r="G5" s="11"/>
      <c r="H5" s="11"/>
      <c r="I5" s="11"/>
      <c r="J5" s="11"/>
      <c r="K5" s="11"/>
      <c r="L5" s="11"/>
      <c r="M5" s="11" t="s">
        <v>318</v>
      </c>
      <c r="N5" s="11"/>
      <c r="O5" s="33"/>
      <c r="P5" s="11" t="s">
        <v>39</v>
      </c>
      <c r="Q5" s="9">
        <v>1</v>
      </c>
      <c r="R5" s="11" t="s">
        <v>316</v>
      </c>
      <c r="S5" s="9">
        <v>1</v>
      </c>
      <c r="T5" s="16"/>
      <c r="U5" s="9">
        <v>0</v>
      </c>
      <c r="V5" s="16"/>
      <c r="W5" s="9">
        <v>0</v>
      </c>
      <c r="X5" s="6"/>
    </row>
    <row r="6" ht="38.25" customHeight="1" spans="1:24">
      <c r="A6" s="12"/>
      <c r="B6" s="8" t="s">
        <v>319</v>
      </c>
      <c r="C6" s="9" t="s">
        <v>313</v>
      </c>
      <c r="D6" s="9">
        <v>2</v>
      </c>
      <c r="E6" s="10" t="s">
        <v>314</v>
      </c>
      <c r="F6" s="11"/>
      <c r="G6" s="11"/>
      <c r="H6" s="11"/>
      <c r="I6" s="11"/>
      <c r="J6" s="11"/>
      <c r="K6" s="11"/>
      <c r="L6" s="11"/>
      <c r="M6" s="11" t="s">
        <v>320</v>
      </c>
      <c r="N6" s="11"/>
      <c r="O6" s="33"/>
      <c r="P6" s="11" t="s">
        <v>39</v>
      </c>
      <c r="Q6" s="9">
        <v>2</v>
      </c>
      <c r="R6" s="11" t="s">
        <v>316</v>
      </c>
      <c r="S6" s="9">
        <v>2</v>
      </c>
      <c r="T6" s="16"/>
      <c r="U6" s="9">
        <v>0</v>
      </c>
      <c r="V6" s="16"/>
      <c r="W6" s="9">
        <v>0</v>
      </c>
      <c r="X6" s="6"/>
    </row>
    <row r="7" ht="38.25" customHeight="1" spans="1:24">
      <c r="A7" s="12"/>
      <c r="B7" s="8" t="s">
        <v>321</v>
      </c>
      <c r="C7" s="9" t="s">
        <v>313</v>
      </c>
      <c r="D7" s="9">
        <v>1</v>
      </c>
      <c r="E7" s="10" t="s">
        <v>314</v>
      </c>
      <c r="F7" s="11"/>
      <c r="G7" s="11"/>
      <c r="H7" s="11"/>
      <c r="I7" s="11"/>
      <c r="J7" s="11"/>
      <c r="K7" s="11"/>
      <c r="L7" s="11"/>
      <c r="M7" s="11" t="s">
        <v>322</v>
      </c>
      <c r="N7" s="11"/>
      <c r="O7" s="33"/>
      <c r="P7" s="11" t="s">
        <v>39</v>
      </c>
      <c r="Q7" s="9">
        <v>1</v>
      </c>
      <c r="R7" s="11" t="s">
        <v>316</v>
      </c>
      <c r="S7" s="9">
        <v>1</v>
      </c>
      <c r="T7" s="16"/>
      <c r="U7" s="9">
        <v>0</v>
      </c>
      <c r="V7" s="16"/>
      <c r="W7" s="9">
        <v>0</v>
      </c>
      <c r="X7" s="6"/>
    </row>
    <row r="8" ht="38.25" customHeight="1" spans="1:24">
      <c r="A8" s="12"/>
      <c r="B8" s="8" t="s">
        <v>323</v>
      </c>
      <c r="C8" s="11" t="s">
        <v>324</v>
      </c>
      <c r="D8" s="9">
        <v>3</v>
      </c>
      <c r="E8" s="11" t="s">
        <v>325</v>
      </c>
      <c r="F8" s="11"/>
      <c r="G8" s="11"/>
      <c r="H8" s="11"/>
      <c r="I8" s="11"/>
      <c r="J8" s="11"/>
      <c r="K8" s="11">
        <v>170</v>
      </c>
      <c r="L8" s="11"/>
      <c r="M8" s="11" t="s">
        <v>325</v>
      </c>
      <c r="N8" s="11"/>
      <c r="O8" s="33" t="s">
        <v>326</v>
      </c>
      <c r="P8" s="11"/>
      <c r="Q8" s="9">
        <v>0</v>
      </c>
      <c r="R8" s="16"/>
      <c r="S8" s="9">
        <v>0</v>
      </c>
      <c r="T8" s="11" t="s">
        <v>327</v>
      </c>
      <c r="U8" s="9">
        <v>1</v>
      </c>
      <c r="V8" s="16"/>
      <c r="W8" s="9">
        <v>0</v>
      </c>
      <c r="X8" s="6"/>
    </row>
    <row r="9" ht="38.25" customHeight="1" spans="1:24">
      <c r="A9" s="12"/>
      <c r="B9" s="8" t="s">
        <v>328</v>
      </c>
      <c r="C9" s="11" t="s">
        <v>324</v>
      </c>
      <c r="D9" s="9">
        <v>3</v>
      </c>
      <c r="E9" s="11" t="s">
        <v>325</v>
      </c>
      <c r="F9" s="6"/>
      <c r="G9" s="11"/>
      <c r="H9" s="6"/>
      <c r="I9" s="6"/>
      <c r="J9" s="6"/>
      <c r="K9" s="11">
        <v>173</v>
      </c>
      <c r="L9" s="11"/>
      <c r="M9" s="11" t="s">
        <v>325</v>
      </c>
      <c r="N9" s="11"/>
      <c r="O9" s="33" t="s">
        <v>326</v>
      </c>
      <c r="P9" s="11"/>
      <c r="Q9" s="9">
        <v>0</v>
      </c>
      <c r="R9" s="16"/>
      <c r="S9" s="9">
        <v>0</v>
      </c>
      <c r="T9" s="11" t="s">
        <v>327</v>
      </c>
      <c r="U9" s="9">
        <v>1</v>
      </c>
      <c r="V9" s="16"/>
      <c r="W9" s="9">
        <v>0</v>
      </c>
      <c r="X9" s="6"/>
    </row>
    <row r="10" ht="38.25" customHeight="1" spans="1:24">
      <c r="A10" s="12"/>
      <c r="B10" s="8" t="s">
        <v>329</v>
      </c>
      <c r="C10" s="9" t="s">
        <v>313</v>
      </c>
      <c r="D10" s="9">
        <v>2</v>
      </c>
      <c r="E10" s="13" t="s">
        <v>330</v>
      </c>
      <c r="F10" s="6"/>
      <c r="G10" s="11"/>
      <c r="H10" s="6"/>
      <c r="I10" s="6"/>
      <c r="J10" s="6"/>
      <c r="K10" s="6"/>
      <c r="L10" s="6"/>
      <c r="M10" s="11" t="s">
        <v>331</v>
      </c>
      <c r="N10" s="11"/>
      <c r="O10" s="33"/>
      <c r="P10" s="11" t="s">
        <v>39</v>
      </c>
      <c r="Q10" s="9">
        <v>2</v>
      </c>
      <c r="R10" s="11" t="s">
        <v>316</v>
      </c>
      <c r="S10" s="9">
        <v>2</v>
      </c>
      <c r="T10" s="11"/>
      <c r="U10" s="9">
        <v>0</v>
      </c>
      <c r="V10" s="16"/>
      <c r="W10" s="9">
        <v>0</v>
      </c>
      <c r="X10" s="6"/>
    </row>
    <row r="11" ht="38.25" customHeight="1" spans="1:24">
      <c r="A11" s="12"/>
      <c r="B11" s="8" t="s">
        <v>332</v>
      </c>
      <c r="C11" s="9" t="s">
        <v>313</v>
      </c>
      <c r="D11" s="9">
        <v>1</v>
      </c>
      <c r="E11" s="13" t="s">
        <v>330</v>
      </c>
      <c r="F11" s="6"/>
      <c r="G11" s="11"/>
      <c r="H11" s="6"/>
      <c r="I11" s="6"/>
      <c r="J11" s="6"/>
      <c r="K11" s="6"/>
      <c r="L11" s="6"/>
      <c r="M11" s="11" t="s">
        <v>333</v>
      </c>
      <c r="N11" s="11"/>
      <c r="O11" s="33"/>
      <c r="P11" s="11" t="s">
        <v>39</v>
      </c>
      <c r="Q11" s="9">
        <v>1</v>
      </c>
      <c r="R11" s="11" t="s">
        <v>316</v>
      </c>
      <c r="S11" s="9">
        <v>1</v>
      </c>
      <c r="T11" s="11"/>
      <c r="U11" s="9">
        <v>0</v>
      </c>
      <c r="V11" s="16"/>
      <c r="W11" s="9">
        <v>0</v>
      </c>
      <c r="X11" s="6"/>
    </row>
    <row r="12" ht="38.25" customHeight="1" spans="1:24">
      <c r="A12" s="12"/>
      <c r="B12" s="8" t="s">
        <v>334</v>
      </c>
      <c r="C12" s="9" t="s">
        <v>313</v>
      </c>
      <c r="D12" s="9">
        <v>2</v>
      </c>
      <c r="E12" s="13" t="s">
        <v>330</v>
      </c>
      <c r="F12" s="6"/>
      <c r="G12" s="11"/>
      <c r="H12" s="6"/>
      <c r="I12" s="6"/>
      <c r="J12" s="6"/>
      <c r="K12" s="6"/>
      <c r="L12" s="6"/>
      <c r="M12" s="11" t="s">
        <v>335</v>
      </c>
      <c r="N12" s="11"/>
      <c r="O12" s="33"/>
      <c r="P12" s="11" t="s">
        <v>39</v>
      </c>
      <c r="Q12" s="9">
        <v>2</v>
      </c>
      <c r="R12" s="11" t="s">
        <v>316</v>
      </c>
      <c r="S12" s="9">
        <v>2</v>
      </c>
      <c r="T12" s="11"/>
      <c r="U12" s="9">
        <v>0</v>
      </c>
      <c r="V12" s="16"/>
      <c r="W12" s="9">
        <v>0</v>
      </c>
      <c r="X12" s="6"/>
    </row>
    <row r="13" ht="27.75" spans="1:24">
      <c r="A13" s="12"/>
      <c r="B13" s="8" t="s">
        <v>336</v>
      </c>
      <c r="C13" s="9" t="s">
        <v>313</v>
      </c>
      <c r="D13" s="9">
        <v>1</v>
      </c>
      <c r="E13" s="13" t="s">
        <v>330</v>
      </c>
      <c r="F13" s="6"/>
      <c r="G13" s="11"/>
      <c r="H13" s="6"/>
      <c r="I13" s="6"/>
      <c r="J13" s="6"/>
      <c r="K13" s="6"/>
      <c r="L13" s="6"/>
      <c r="M13" s="11" t="s">
        <v>337</v>
      </c>
      <c r="N13" s="11"/>
      <c r="O13" s="33"/>
      <c r="P13" s="11" t="s">
        <v>39</v>
      </c>
      <c r="Q13" s="9">
        <v>1</v>
      </c>
      <c r="R13" s="11" t="s">
        <v>316</v>
      </c>
      <c r="S13" s="9">
        <v>1</v>
      </c>
      <c r="T13" s="16"/>
      <c r="U13" s="9">
        <v>0</v>
      </c>
      <c r="V13" s="16"/>
      <c r="W13" s="9">
        <v>0</v>
      </c>
      <c r="X13" s="6"/>
    </row>
    <row r="14" ht="27.75" spans="1:24">
      <c r="A14" s="12"/>
      <c r="B14" s="8" t="s">
        <v>338</v>
      </c>
      <c r="C14" s="11" t="s">
        <v>324</v>
      </c>
      <c r="D14" s="9">
        <v>3</v>
      </c>
      <c r="E14" s="11" t="s">
        <v>325</v>
      </c>
      <c r="F14" s="6"/>
      <c r="G14" s="11"/>
      <c r="H14" s="6"/>
      <c r="I14" s="6"/>
      <c r="J14" s="6"/>
      <c r="K14" s="11">
        <v>163</v>
      </c>
      <c r="L14" s="11"/>
      <c r="M14" s="11" t="s">
        <v>325</v>
      </c>
      <c r="N14" s="11"/>
      <c r="O14" s="33" t="s">
        <v>326</v>
      </c>
      <c r="P14" s="11"/>
      <c r="Q14" s="9">
        <v>0</v>
      </c>
      <c r="R14" s="16"/>
      <c r="S14" s="9">
        <v>0</v>
      </c>
      <c r="T14" s="11" t="s">
        <v>327</v>
      </c>
      <c r="U14" s="9">
        <v>1</v>
      </c>
      <c r="V14" s="16"/>
      <c r="W14" s="9">
        <v>0</v>
      </c>
      <c r="X14" s="6"/>
    </row>
    <row r="15" ht="27.75" spans="1:24">
      <c r="A15" s="12"/>
      <c r="B15" s="8" t="s">
        <v>339</v>
      </c>
      <c r="C15" s="11" t="s">
        <v>324</v>
      </c>
      <c r="D15" s="9">
        <v>3</v>
      </c>
      <c r="E15" s="11" t="s">
        <v>325</v>
      </c>
      <c r="F15" s="6"/>
      <c r="G15" s="11"/>
      <c r="H15" s="6"/>
      <c r="I15" s="6"/>
      <c r="J15" s="6"/>
      <c r="K15" s="11">
        <v>156</v>
      </c>
      <c r="L15" s="11"/>
      <c r="M15" s="11" t="s">
        <v>325</v>
      </c>
      <c r="N15" s="11"/>
      <c r="O15" s="33" t="s">
        <v>326</v>
      </c>
      <c r="P15" s="11"/>
      <c r="Q15" s="9">
        <v>0</v>
      </c>
      <c r="R15" s="16"/>
      <c r="S15" s="9">
        <v>0</v>
      </c>
      <c r="T15" s="11" t="s">
        <v>327</v>
      </c>
      <c r="U15" s="9">
        <v>1</v>
      </c>
      <c r="V15" s="16"/>
      <c r="W15" s="9">
        <v>0</v>
      </c>
      <c r="X15" s="6"/>
    </row>
    <row r="16" ht="26.25" customHeight="1" spans="1:24">
      <c r="A16" s="12"/>
      <c r="B16" s="8" t="s">
        <v>340</v>
      </c>
      <c r="C16" s="9" t="s">
        <v>313</v>
      </c>
      <c r="D16" s="9">
        <v>2</v>
      </c>
      <c r="E16" s="14" t="s">
        <v>341</v>
      </c>
      <c r="F16" s="6"/>
      <c r="G16" s="11"/>
      <c r="H16" s="6"/>
      <c r="I16" s="6"/>
      <c r="J16" s="6"/>
      <c r="K16" s="6"/>
      <c r="L16" s="6"/>
      <c r="M16" s="11" t="s">
        <v>342</v>
      </c>
      <c r="N16" s="11"/>
      <c r="O16" s="33"/>
      <c r="P16" s="11" t="s">
        <v>39</v>
      </c>
      <c r="Q16" s="9">
        <v>2</v>
      </c>
      <c r="R16" s="11" t="s">
        <v>316</v>
      </c>
      <c r="S16" s="9">
        <v>2</v>
      </c>
      <c r="T16" s="11"/>
      <c r="U16" s="9">
        <v>0</v>
      </c>
      <c r="V16" s="16"/>
      <c r="W16" s="9">
        <v>0</v>
      </c>
      <c r="X16" s="6"/>
    </row>
    <row r="17" ht="26.25" customHeight="1" spans="1:24">
      <c r="A17" s="12"/>
      <c r="B17" s="8" t="s">
        <v>343</v>
      </c>
      <c r="C17" s="9" t="s">
        <v>313</v>
      </c>
      <c r="D17" s="9">
        <v>1</v>
      </c>
      <c r="E17" s="14" t="s">
        <v>341</v>
      </c>
      <c r="F17" s="6"/>
      <c r="G17" s="11"/>
      <c r="H17" s="6"/>
      <c r="I17" s="6"/>
      <c r="J17" s="6"/>
      <c r="K17" s="6"/>
      <c r="L17" s="6"/>
      <c r="M17" s="11" t="s">
        <v>344</v>
      </c>
      <c r="N17" s="11"/>
      <c r="O17" s="33"/>
      <c r="P17" s="11" t="s">
        <v>39</v>
      </c>
      <c r="Q17" s="9">
        <v>1</v>
      </c>
      <c r="R17" s="11" t="s">
        <v>316</v>
      </c>
      <c r="S17" s="9">
        <v>1</v>
      </c>
      <c r="T17" s="11"/>
      <c r="U17" s="9">
        <v>0</v>
      </c>
      <c r="V17" s="16"/>
      <c r="W17" s="9">
        <v>0</v>
      </c>
      <c r="X17" s="6"/>
    </row>
    <row r="18" ht="26.25" customHeight="1" spans="1:24">
      <c r="A18" s="12"/>
      <c r="B18" s="8" t="s">
        <v>345</v>
      </c>
      <c r="C18" s="9" t="s">
        <v>313</v>
      </c>
      <c r="D18" s="9">
        <v>2</v>
      </c>
      <c r="E18" s="14" t="s">
        <v>341</v>
      </c>
      <c r="F18" s="6"/>
      <c r="G18" s="11"/>
      <c r="H18" s="6"/>
      <c r="I18" s="6"/>
      <c r="J18" s="6"/>
      <c r="K18" s="6"/>
      <c r="L18" s="6"/>
      <c r="M18" s="11" t="s">
        <v>346</v>
      </c>
      <c r="N18" s="11"/>
      <c r="O18" s="33"/>
      <c r="P18" s="11" t="s">
        <v>39</v>
      </c>
      <c r="Q18" s="9">
        <v>2</v>
      </c>
      <c r="R18" s="11" t="s">
        <v>316</v>
      </c>
      <c r="S18" s="9">
        <v>2</v>
      </c>
      <c r="T18" s="11"/>
      <c r="U18" s="9">
        <v>0</v>
      </c>
      <c r="V18" s="16"/>
      <c r="W18" s="9">
        <v>0</v>
      </c>
      <c r="X18" s="6"/>
    </row>
    <row r="19" ht="26.25" customHeight="1" spans="1:24">
      <c r="A19" s="12"/>
      <c r="B19" s="8" t="s">
        <v>347</v>
      </c>
      <c r="C19" s="9" t="s">
        <v>313</v>
      </c>
      <c r="D19" s="9">
        <v>1</v>
      </c>
      <c r="E19" s="14" t="s">
        <v>341</v>
      </c>
      <c r="F19" s="6"/>
      <c r="G19" s="11"/>
      <c r="H19" s="6"/>
      <c r="I19" s="6"/>
      <c r="J19" s="6"/>
      <c r="K19" s="6"/>
      <c r="L19" s="6"/>
      <c r="M19" s="11" t="s">
        <v>348</v>
      </c>
      <c r="N19" s="11"/>
      <c r="O19" s="33"/>
      <c r="P19" s="11" t="s">
        <v>39</v>
      </c>
      <c r="Q19" s="9">
        <v>1</v>
      </c>
      <c r="R19" s="11" t="s">
        <v>316</v>
      </c>
      <c r="S19" s="9">
        <v>1</v>
      </c>
      <c r="T19" s="16"/>
      <c r="U19" s="9">
        <v>0</v>
      </c>
      <c r="V19" s="16"/>
      <c r="W19" s="9">
        <v>0</v>
      </c>
      <c r="X19" s="6"/>
    </row>
    <row r="20" ht="31.5" customHeight="1" spans="1:24">
      <c r="A20" s="12"/>
      <c r="B20" s="8" t="s">
        <v>349</v>
      </c>
      <c r="C20" s="9" t="s">
        <v>350</v>
      </c>
      <c r="D20" s="9">
        <v>3</v>
      </c>
      <c r="E20" s="11" t="s">
        <v>325</v>
      </c>
      <c r="F20" s="6"/>
      <c r="G20" s="11"/>
      <c r="H20" s="6"/>
      <c r="I20" s="6"/>
      <c r="J20" s="6"/>
      <c r="K20" s="11">
        <v>146</v>
      </c>
      <c r="L20" s="11"/>
      <c r="M20" s="11" t="s">
        <v>325</v>
      </c>
      <c r="N20" s="11"/>
      <c r="O20" s="33" t="s">
        <v>326</v>
      </c>
      <c r="P20" s="11"/>
      <c r="Q20" s="9">
        <v>0</v>
      </c>
      <c r="R20" s="16"/>
      <c r="S20" s="9">
        <v>0</v>
      </c>
      <c r="T20" s="11" t="s">
        <v>327</v>
      </c>
      <c r="U20" s="9">
        <v>1</v>
      </c>
      <c r="V20" s="16"/>
      <c r="W20" s="9">
        <v>0</v>
      </c>
      <c r="X20" s="6"/>
    </row>
    <row r="21" ht="27" spans="1:24">
      <c r="A21" s="12"/>
      <c r="B21" s="8" t="s">
        <v>351</v>
      </c>
      <c r="C21" s="9" t="s">
        <v>350</v>
      </c>
      <c r="D21" s="9">
        <v>3</v>
      </c>
      <c r="E21" s="11" t="s">
        <v>325</v>
      </c>
      <c r="F21" s="6"/>
      <c r="G21" s="11"/>
      <c r="H21" s="6"/>
      <c r="I21" s="6"/>
      <c r="J21" s="6"/>
      <c r="K21" s="11">
        <v>139</v>
      </c>
      <c r="L21" s="11"/>
      <c r="M21" s="11" t="s">
        <v>325</v>
      </c>
      <c r="N21" s="11"/>
      <c r="O21" s="33" t="s">
        <v>326</v>
      </c>
      <c r="P21" s="11"/>
      <c r="Q21" s="9">
        <v>0</v>
      </c>
      <c r="R21" s="16"/>
      <c r="S21" s="9">
        <v>0</v>
      </c>
      <c r="T21" s="11" t="s">
        <v>327</v>
      </c>
      <c r="U21" s="9">
        <v>1</v>
      </c>
      <c r="V21" s="16"/>
      <c r="W21" s="9">
        <v>0</v>
      </c>
      <c r="X21" s="6"/>
    </row>
    <row r="22" ht="27" spans="1:24">
      <c r="A22" s="12"/>
      <c r="B22" s="8" t="s">
        <v>352</v>
      </c>
      <c r="C22" s="9" t="s">
        <v>313</v>
      </c>
      <c r="D22" s="9">
        <v>2</v>
      </c>
      <c r="E22" s="15" t="s">
        <v>353</v>
      </c>
      <c r="F22" s="6"/>
      <c r="G22" s="11"/>
      <c r="H22" s="6"/>
      <c r="I22" s="6"/>
      <c r="J22" s="6"/>
      <c r="K22" s="6"/>
      <c r="L22" s="6"/>
      <c r="M22" s="11" t="s">
        <v>354</v>
      </c>
      <c r="N22" s="11"/>
      <c r="O22" s="33"/>
      <c r="P22" s="11" t="s">
        <v>39</v>
      </c>
      <c r="Q22" s="9">
        <v>2</v>
      </c>
      <c r="R22" s="11" t="s">
        <v>316</v>
      </c>
      <c r="S22" s="9">
        <v>2</v>
      </c>
      <c r="T22" s="11"/>
      <c r="U22" s="9">
        <v>0</v>
      </c>
      <c r="V22" s="16"/>
      <c r="W22" s="9">
        <v>0</v>
      </c>
      <c r="X22" s="6"/>
    </row>
    <row r="23" ht="27" spans="1:24">
      <c r="A23" s="12"/>
      <c r="B23" s="8" t="s">
        <v>355</v>
      </c>
      <c r="C23" s="9" t="s">
        <v>313</v>
      </c>
      <c r="D23" s="9">
        <v>1</v>
      </c>
      <c r="E23" s="15" t="s">
        <v>353</v>
      </c>
      <c r="F23" s="6"/>
      <c r="G23" s="11"/>
      <c r="H23" s="6"/>
      <c r="I23" s="6"/>
      <c r="J23" s="6"/>
      <c r="K23" s="6"/>
      <c r="L23" s="6"/>
      <c r="M23" s="11" t="s">
        <v>356</v>
      </c>
      <c r="N23" s="11"/>
      <c r="O23" s="33"/>
      <c r="P23" s="11" t="s">
        <v>39</v>
      </c>
      <c r="Q23" s="9">
        <v>1</v>
      </c>
      <c r="R23" s="11" t="s">
        <v>316</v>
      </c>
      <c r="S23" s="9">
        <v>1</v>
      </c>
      <c r="T23" s="11"/>
      <c r="U23" s="9">
        <v>0</v>
      </c>
      <c r="V23" s="16"/>
      <c r="W23" s="9">
        <v>0</v>
      </c>
      <c r="X23" s="6"/>
    </row>
    <row r="24" ht="27" spans="1:24">
      <c r="A24" s="12"/>
      <c r="B24" s="8" t="s">
        <v>357</v>
      </c>
      <c r="C24" s="9" t="s">
        <v>313</v>
      </c>
      <c r="D24" s="9">
        <v>2</v>
      </c>
      <c r="E24" s="15" t="s">
        <v>353</v>
      </c>
      <c r="F24" s="6"/>
      <c r="G24" s="11"/>
      <c r="H24" s="6"/>
      <c r="I24" s="6"/>
      <c r="J24" s="6"/>
      <c r="K24" s="6"/>
      <c r="L24" s="6"/>
      <c r="M24" s="11" t="s">
        <v>358</v>
      </c>
      <c r="N24" s="11"/>
      <c r="O24" s="33"/>
      <c r="P24" s="11" t="s">
        <v>39</v>
      </c>
      <c r="Q24" s="9">
        <v>2</v>
      </c>
      <c r="R24" s="11" t="s">
        <v>316</v>
      </c>
      <c r="S24" s="9">
        <v>2</v>
      </c>
      <c r="T24" s="11"/>
      <c r="U24" s="9">
        <v>0</v>
      </c>
      <c r="V24" s="16"/>
      <c r="W24" s="9">
        <v>0</v>
      </c>
      <c r="X24" s="6"/>
    </row>
    <row r="25" ht="27" spans="1:24">
      <c r="A25" s="12"/>
      <c r="B25" s="8" t="s">
        <v>359</v>
      </c>
      <c r="C25" s="9" t="s">
        <v>313</v>
      </c>
      <c r="D25" s="9">
        <v>1</v>
      </c>
      <c r="E25" s="15" t="s">
        <v>353</v>
      </c>
      <c r="F25" s="6"/>
      <c r="G25" s="11"/>
      <c r="H25" s="6"/>
      <c r="I25" s="6"/>
      <c r="J25" s="6"/>
      <c r="K25" s="6"/>
      <c r="L25" s="6"/>
      <c r="M25" s="11" t="s">
        <v>360</v>
      </c>
      <c r="N25" s="11"/>
      <c r="O25" s="33"/>
      <c r="P25" s="11" t="s">
        <v>39</v>
      </c>
      <c r="Q25" s="9">
        <v>1</v>
      </c>
      <c r="R25" s="11" t="s">
        <v>316</v>
      </c>
      <c r="S25" s="9">
        <v>1</v>
      </c>
      <c r="T25" s="16"/>
      <c r="U25" s="9">
        <v>0</v>
      </c>
      <c r="V25" s="16"/>
      <c r="W25" s="9">
        <v>0</v>
      </c>
      <c r="X25" s="6"/>
    </row>
    <row r="26" ht="27" spans="1:24">
      <c r="A26" s="12"/>
      <c r="B26" s="8" t="s">
        <v>361</v>
      </c>
      <c r="C26" s="9" t="s">
        <v>350</v>
      </c>
      <c r="D26" s="9">
        <v>3</v>
      </c>
      <c r="E26" s="11" t="s">
        <v>325</v>
      </c>
      <c r="F26" s="6"/>
      <c r="G26" s="11"/>
      <c r="H26" s="6"/>
      <c r="I26" s="6"/>
      <c r="J26" s="6"/>
      <c r="K26" s="11">
        <v>129</v>
      </c>
      <c r="L26" s="11"/>
      <c r="M26" s="11" t="s">
        <v>325</v>
      </c>
      <c r="N26" s="11"/>
      <c r="O26" s="33" t="s">
        <v>326</v>
      </c>
      <c r="P26" s="11"/>
      <c r="Q26" s="9">
        <v>0</v>
      </c>
      <c r="R26" s="16"/>
      <c r="S26" s="9">
        <v>0</v>
      </c>
      <c r="T26" s="11" t="s">
        <v>327</v>
      </c>
      <c r="U26" s="9">
        <v>1</v>
      </c>
      <c r="V26" s="16"/>
      <c r="W26" s="9">
        <v>0</v>
      </c>
      <c r="X26" s="6"/>
    </row>
    <row r="27" ht="27" spans="1:24">
      <c r="A27" s="12"/>
      <c r="B27" s="8" t="s">
        <v>362</v>
      </c>
      <c r="C27" s="9" t="s">
        <v>350</v>
      </c>
      <c r="D27" s="9">
        <v>3</v>
      </c>
      <c r="E27" s="11" t="s">
        <v>325</v>
      </c>
      <c r="F27" s="6"/>
      <c r="G27" s="11"/>
      <c r="H27" s="6"/>
      <c r="I27" s="6"/>
      <c r="J27" s="6"/>
      <c r="K27" s="11">
        <v>122</v>
      </c>
      <c r="L27" s="11"/>
      <c r="M27" s="11" t="s">
        <v>325</v>
      </c>
      <c r="N27" s="11"/>
      <c r="O27" s="33" t="s">
        <v>326</v>
      </c>
      <c r="P27" s="11"/>
      <c r="Q27" s="9">
        <v>0</v>
      </c>
      <c r="R27" s="16"/>
      <c r="S27" s="9">
        <v>0</v>
      </c>
      <c r="T27" s="11" t="s">
        <v>327</v>
      </c>
      <c r="U27" s="9">
        <v>1</v>
      </c>
      <c r="V27" s="16"/>
      <c r="W27" s="9">
        <v>0</v>
      </c>
      <c r="X27" s="6"/>
    </row>
    <row r="28" s="1" customFormat="1" ht="27" customHeight="1" spans="1:25">
      <c r="A28" s="7" t="s">
        <v>363</v>
      </c>
      <c r="B28" s="7" t="s">
        <v>364</v>
      </c>
      <c r="C28" s="11" t="s">
        <v>365</v>
      </c>
      <c r="D28" s="9"/>
      <c r="E28" s="11" t="s">
        <v>366</v>
      </c>
      <c r="F28" s="11"/>
      <c r="G28" s="16"/>
      <c r="H28" s="6"/>
      <c r="I28" s="6"/>
      <c r="J28" s="11">
        <v>90</v>
      </c>
      <c r="K28" s="16"/>
      <c r="L28" s="6"/>
      <c r="M28" s="11" t="s">
        <v>176</v>
      </c>
      <c r="N28" s="9"/>
      <c r="O28" s="9"/>
      <c r="P28" s="34" t="s">
        <v>39</v>
      </c>
      <c r="Q28" s="9">
        <v>1</v>
      </c>
      <c r="R28" s="34" t="s">
        <v>367</v>
      </c>
      <c r="S28" s="9">
        <v>1</v>
      </c>
      <c r="T28" s="16"/>
      <c r="U28" s="9">
        <v>0</v>
      </c>
      <c r="V28" s="16"/>
      <c r="W28" s="16"/>
      <c r="X28" s="16"/>
      <c r="Y28" s="44" t="s">
        <v>307</v>
      </c>
    </row>
    <row r="29" s="1" customFormat="1" ht="30" customHeight="1" spans="1:25">
      <c r="A29" s="12"/>
      <c r="B29" s="12"/>
      <c r="C29" s="11" t="s">
        <v>368</v>
      </c>
      <c r="D29" s="9"/>
      <c r="E29" s="11" t="s">
        <v>366</v>
      </c>
      <c r="F29" s="17"/>
      <c r="G29" s="16"/>
      <c r="H29" s="6"/>
      <c r="I29" s="6"/>
      <c r="J29" s="11">
        <v>74</v>
      </c>
      <c r="K29" s="16"/>
      <c r="L29" s="6"/>
      <c r="M29" s="11" t="s">
        <v>369</v>
      </c>
      <c r="N29" s="9"/>
      <c r="O29" s="9"/>
      <c r="P29" s="34" t="s">
        <v>39</v>
      </c>
      <c r="Q29" s="9">
        <v>1</v>
      </c>
      <c r="R29" s="34" t="s">
        <v>367</v>
      </c>
      <c r="S29" s="9">
        <v>1</v>
      </c>
      <c r="T29" s="16"/>
      <c r="U29" s="9">
        <v>0</v>
      </c>
      <c r="V29" s="16"/>
      <c r="W29" s="16"/>
      <c r="X29" s="16"/>
      <c r="Y29" s="44" t="s">
        <v>307</v>
      </c>
    </row>
    <row r="30" s="1" customFormat="1" ht="34" customHeight="1" spans="1:25">
      <c r="A30" s="12"/>
      <c r="B30" s="12"/>
      <c r="C30" s="11" t="s">
        <v>370</v>
      </c>
      <c r="D30" s="9"/>
      <c r="E30" s="11" t="s">
        <v>366</v>
      </c>
      <c r="F30" s="17"/>
      <c r="G30" s="16"/>
      <c r="H30" s="6"/>
      <c r="I30" s="6"/>
      <c r="J30" s="11">
        <v>58</v>
      </c>
      <c r="K30" s="16"/>
      <c r="L30" s="6"/>
      <c r="M30" s="11" t="s">
        <v>371</v>
      </c>
      <c r="N30" s="9"/>
      <c r="O30" s="9"/>
      <c r="P30" s="34" t="s">
        <v>39</v>
      </c>
      <c r="Q30" s="9">
        <v>1</v>
      </c>
      <c r="R30" s="34" t="s">
        <v>367</v>
      </c>
      <c r="S30" s="9">
        <v>1</v>
      </c>
      <c r="T30" s="16"/>
      <c r="U30" s="9">
        <v>0</v>
      </c>
      <c r="V30" s="16"/>
      <c r="W30" s="16"/>
      <c r="X30" s="16"/>
      <c r="Y30" s="44" t="s">
        <v>307</v>
      </c>
    </row>
    <row r="31" s="1" customFormat="1" ht="30" customHeight="1" spans="1:25">
      <c r="A31" s="12"/>
      <c r="B31" s="18"/>
      <c r="C31" s="11" t="s">
        <v>372</v>
      </c>
      <c r="D31" s="9"/>
      <c r="E31" s="11" t="s">
        <v>366</v>
      </c>
      <c r="F31" s="17"/>
      <c r="G31" s="16"/>
      <c r="H31" s="6"/>
      <c r="I31" s="6"/>
      <c r="J31" s="11">
        <v>42</v>
      </c>
      <c r="K31" s="16"/>
      <c r="L31" s="6"/>
      <c r="M31" s="11" t="s">
        <v>191</v>
      </c>
      <c r="N31" s="9"/>
      <c r="O31" s="9"/>
      <c r="P31" s="34" t="s">
        <v>39</v>
      </c>
      <c r="Q31" s="9">
        <v>1</v>
      </c>
      <c r="R31" s="34" t="s">
        <v>367</v>
      </c>
      <c r="S31" s="9">
        <v>1</v>
      </c>
      <c r="T31" s="16"/>
      <c r="U31" s="9">
        <v>0</v>
      </c>
      <c r="V31" s="16"/>
      <c r="W31" s="16"/>
      <c r="X31" s="16"/>
      <c r="Y31" s="44" t="s">
        <v>307</v>
      </c>
    </row>
    <row r="32" ht="27" spans="1:24">
      <c r="A32" s="7" t="s">
        <v>373</v>
      </c>
      <c r="B32" s="17" t="s">
        <v>374</v>
      </c>
      <c r="C32" s="9" t="s">
        <v>313</v>
      </c>
      <c r="D32" s="9">
        <v>1</v>
      </c>
      <c r="E32" s="19" t="s">
        <v>375</v>
      </c>
      <c r="F32" s="6"/>
      <c r="G32" s="11"/>
      <c r="H32" s="6"/>
      <c r="I32" s="6"/>
      <c r="J32" s="6"/>
      <c r="K32" s="6"/>
      <c r="L32" s="6"/>
      <c r="M32" s="11" t="s">
        <v>376</v>
      </c>
      <c r="N32" s="11"/>
      <c r="O32" s="33"/>
      <c r="P32" s="11" t="s">
        <v>39</v>
      </c>
      <c r="Q32" s="9">
        <v>1</v>
      </c>
      <c r="R32" s="11" t="s">
        <v>316</v>
      </c>
      <c r="S32" s="9">
        <v>1</v>
      </c>
      <c r="T32" s="11"/>
      <c r="U32" s="9">
        <v>0</v>
      </c>
      <c r="V32" s="16"/>
      <c r="W32" s="9">
        <v>0</v>
      </c>
      <c r="X32" s="43" t="s">
        <v>377</v>
      </c>
    </row>
    <row r="33" ht="27" spans="1:24">
      <c r="A33" s="12"/>
      <c r="B33" s="17" t="s">
        <v>378</v>
      </c>
      <c r="C33" s="9" t="s">
        <v>313</v>
      </c>
      <c r="D33" s="9">
        <v>1</v>
      </c>
      <c r="E33" s="19" t="s">
        <v>375</v>
      </c>
      <c r="F33" s="6"/>
      <c r="G33" s="11"/>
      <c r="H33" s="6"/>
      <c r="I33" s="6"/>
      <c r="J33" s="6"/>
      <c r="K33" s="6"/>
      <c r="L33" s="6"/>
      <c r="M33" s="11" t="s">
        <v>379</v>
      </c>
      <c r="N33" s="11"/>
      <c r="O33" s="33"/>
      <c r="P33" s="11" t="s">
        <v>39</v>
      </c>
      <c r="Q33" s="9">
        <v>1</v>
      </c>
      <c r="R33" s="11" t="s">
        <v>316</v>
      </c>
      <c r="S33" s="9">
        <v>1</v>
      </c>
      <c r="T33" s="11"/>
      <c r="U33" s="9">
        <v>0</v>
      </c>
      <c r="V33" s="16"/>
      <c r="W33" s="9">
        <v>0</v>
      </c>
      <c r="X33" s="43" t="s">
        <v>380</v>
      </c>
    </row>
    <row r="34" ht="27" spans="1:24">
      <c r="A34" s="12"/>
      <c r="B34" s="17" t="s">
        <v>381</v>
      </c>
      <c r="C34" s="9" t="s">
        <v>313</v>
      </c>
      <c r="D34" s="9">
        <v>1</v>
      </c>
      <c r="E34" s="19" t="s">
        <v>375</v>
      </c>
      <c r="F34" s="6"/>
      <c r="G34" s="11"/>
      <c r="H34" s="6"/>
      <c r="I34" s="6"/>
      <c r="J34" s="6"/>
      <c r="K34" s="6"/>
      <c r="L34" s="6"/>
      <c r="M34" s="11" t="s">
        <v>382</v>
      </c>
      <c r="N34" s="11"/>
      <c r="O34" s="33"/>
      <c r="P34" s="11" t="s">
        <v>39</v>
      </c>
      <c r="Q34" s="9">
        <v>1</v>
      </c>
      <c r="R34" s="11" t="s">
        <v>316</v>
      </c>
      <c r="S34" s="9">
        <v>1</v>
      </c>
      <c r="T34" s="11"/>
      <c r="U34" s="9">
        <v>0</v>
      </c>
      <c r="V34" s="16"/>
      <c r="W34" s="9">
        <v>0</v>
      </c>
      <c r="X34" s="43"/>
    </row>
    <row r="35" ht="27" spans="1:24">
      <c r="A35" s="12"/>
      <c r="B35" s="17" t="s">
        <v>383</v>
      </c>
      <c r="C35" s="9" t="s">
        <v>350</v>
      </c>
      <c r="D35" s="9">
        <v>3</v>
      </c>
      <c r="E35" s="11" t="s">
        <v>325</v>
      </c>
      <c r="F35" s="6"/>
      <c r="G35" s="11"/>
      <c r="H35" s="6"/>
      <c r="I35" s="6"/>
      <c r="J35" s="6"/>
      <c r="K35" s="11">
        <v>208</v>
      </c>
      <c r="L35" s="11"/>
      <c r="M35" s="11" t="s">
        <v>325</v>
      </c>
      <c r="N35" s="11"/>
      <c r="O35" s="33" t="s">
        <v>326</v>
      </c>
      <c r="P35" s="11"/>
      <c r="Q35" s="9">
        <v>0</v>
      </c>
      <c r="R35" s="16"/>
      <c r="S35" s="9">
        <v>0</v>
      </c>
      <c r="T35" s="11" t="s">
        <v>327</v>
      </c>
      <c r="U35" s="9">
        <v>1</v>
      </c>
      <c r="V35" s="16"/>
      <c r="W35" s="9">
        <v>0</v>
      </c>
      <c r="X35" s="43"/>
    </row>
    <row r="36" ht="33" customHeight="1" spans="1:24">
      <c r="A36" s="12"/>
      <c r="B36" s="17" t="s">
        <v>384</v>
      </c>
      <c r="C36" s="9" t="s">
        <v>350</v>
      </c>
      <c r="D36" s="9">
        <v>3</v>
      </c>
      <c r="E36" s="11" t="s">
        <v>325</v>
      </c>
      <c r="F36" s="6"/>
      <c r="G36" s="11"/>
      <c r="H36" s="6"/>
      <c r="I36" s="6"/>
      <c r="J36" s="6"/>
      <c r="K36" s="11">
        <v>208</v>
      </c>
      <c r="L36" s="11"/>
      <c r="M36" s="11" t="s">
        <v>325</v>
      </c>
      <c r="N36" s="11"/>
      <c r="O36" s="33" t="s">
        <v>326</v>
      </c>
      <c r="P36" s="11"/>
      <c r="Q36" s="9">
        <v>0</v>
      </c>
      <c r="R36" s="16"/>
      <c r="S36" s="9">
        <v>0</v>
      </c>
      <c r="T36" s="11" t="s">
        <v>327</v>
      </c>
      <c r="U36" s="9">
        <v>1</v>
      </c>
      <c r="V36" s="16"/>
      <c r="W36" s="9">
        <v>0</v>
      </c>
      <c r="X36" s="43" t="s">
        <v>70</v>
      </c>
    </row>
    <row r="37" ht="28.5" customHeight="1" spans="1:24">
      <c r="A37" s="7" t="s">
        <v>78</v>
      </c>
      <c r="B37" s="17" t="s">
        <v>385</v>
      </c>
      <c r="C37" s="11" t="s">
        <v>386</v>
      </c>
      <c r="D37" s="9">
        <v>1</v>
      </c>
      <c r="E37" s="11" t="s">
        <v>325</v>
      </c>
      <c r="F37" s="6"/>
      <c r="G37" s="11"/>
      <c r="H37" s="6"/>
      <c r="I37" s="6"/>
      <c r="J37" s="6"/>
      <c r="K37" s="6"/>
      <c r="L37" s="6"/>
      <c r="M37" s="11" t="s">
        <v>325</v>
      </c>
      <c r="N37" s="11"/>
      <c r="O37" s="11" t="s">
        <v>387</v>
      </c>
      <c r="P37" s="11"/>
      <c r="Q37" s="9">
        <v>0</v>
      </c>
      <c r="R37" s="16"/>
      <c r="S37" s="9">
        <v>0</v>
      </c>
      <c r="T37" s="11" t="s">
        <v>388</v>
      </c>
      <c r="U37" s="9">
        <v>1</v>
      </c>
      <c r="V37" s="16"/>
      <c r="W37" s="9">
        <v>0</v>
      </c>
      <c r="X37" s="43"/>
    </row>
    <row r="38" ht="28.5" customHeight="1" spans="1:24">
      <c r="A38" s="12"/>
      <c r="B38" s="17" t="s">
        <v>389</v>
      </c>
      <c r="C38" s="17" t="s">
        <v>390</v>
      </c>
      <c r="D38" s="8">
        <v>1</v>
      </c>
      <c r="E38" s="11" t="s">
        <v>325</v>
      </c>
      <c r="F38" s="6"/>
      <c r="G38" s="11"/>
      <c r="H38" s="6"/>
      <c r="I38" s="6"/>
      <c r="J38" s="6">
        <v>170</v>
      </c>
      <c r="K38" s="6"/>
      <c r="L38" s="6"/>
      <c r="M38" s="11" t="s">
        <v>391</v>
      </c>
      <c r="N38" s="9"/>
      <c r="O38" s="9"/>
      <c r="P38" s="9"/>
      <c r="Q38" s="9">
        <v>0</v>
      </c>
      <c r="R38" s="11" t="s">
        <v>392</v>
      </c>
      <c r="S38" s="9">
        <v>1</v>
      </c>
      <c r="T38" s="16"/>
      <c r="U38" s="9">
        <v>0</v>
      </c>
      <c r="V38" s="16"/>
      <c r="W38" s="9">
        <v>0</v>
      </c>
      <c r="X38" s="43"/>
    </row>
    <row r="39" ht="30.75" customHeight="1" spans="1:24">
      <c r="A39" s="12"/>
      <c r="B39" s="17" t="s">
        <v>393</v>
      </c>
      <c r="C39" s="17" t="s">
        <v>390</v>
      </c>
      <c r="D39" s="8">
        <v>1</v>
      </c>
      <c r="E39" s="11" t="s">
        <v>325</v>
      </c>
      <c r="F39" s="6"/>
      <c r="G39" s="11"/>
      <c r="H39" s="6"/>
      <c r="I39" s="6"/>
      <c r="J39" s="6">
        <v>112</v>
      </c>
      <c r="K39" s="6"/>
      <c r="L39" s="6"/>
      <c r="M39" s="17" t="s">
        <v>394</v>
      </c>
      <c r="N39" s="9"/>
      <c r="O39" s="9"/>
      <c r="P39" s="9"/>
      <c r="Q39" s="9">
        <v>0</v>
      </c>
      <c r="R39" s="11" t="s">
        <v>392</v>
      </c>
      <c r="S39" s="9">
        <v>1</v>
      </c>
      <c r="T39" s="16"/>
      <c r="U39" s="9">
        <v>0</v>
      </c>
      <c r="V39" s="16"/>
      <c r="W39" s="9">
        <v>0</v>
      </c>
      <c r="X39" s="6"/>
    </row>
    <row r="40" ht="27.75" customHeight="1" spans="1:24">
      <c r="A40" s="12"/>
      <c r="B40" s="17" t="s">
        <v>395</v>
      </c>
      <c r="C40" s="11" t="s">
        <v>386</v>
      </c>
      <c r="D40" s="9">
        <v>1</v>
      </c>
      <c r="E40" s="11" t="s">
        <v>325</v>
      </c>
      <c r="F40" s="6"/>
      <c r="G40" s="11"/>
      <c r="H40" s="6"/>
      <c r="I40" s="6"/>
      <c r="J40" s="6"/>
      <c r="K40" s="6"/>
      <c r="L40" s="6"/>
      <c r="M40" s="17" t="s">
        <v>325</v>
      </c>
      <c r="N40" s="11"/>
      <c r="O40" s="11" t="s">
        <v>396</v>
      </c>
      <c r="P40" s="11"/>
      <c r="Q40" s="9">
        <v>0</v>
      </c>
      <c r="R40" s="16"/>
      <c r="S40" s="9">
        <v>0</v>
      </c>
      <c r="T40" s="11" t="s">
        <v>388</v>
      </c>
      <c r="U40" s="9">
        <v>1</v>
      </c>
      <c r="V40" s="16"/>
      <c r="W40" s="9">
        <v>0</v>
      </c>
      <c r="X40" s="6"/>
    </row>
    <row r="41" ht="27" spans="1:24">
      <c r="A41" s="12"/>
      <c r="B41" s="17" t="s">
        <v>389</v>
      </c>
      <c r="C41" s="17" t="s">
        <v>397</v>
      </c>
      <c r="D41" s="8">
        <v>1</v>
      </c>
      <c r="E41" s="11" t="s">
        <v>325</v>
      </c>
      <c r="F41" s="6"/>
      <c r="G41" s="11"/>
      <c r="H41" s="6"/>
      <c r="I41" s="6"/>
      <c r="J41" s="6">
        <v>39</v>
      </c>
      <c r="K41" s="6"/>
      <c r="L41" s="6"/>
      <c r="M41" s="17" t="s">
        <v>398</v>
      </c>
      <c r="N41" s="9"/>
      <c r="O41" s="9"/>
      <c r="P41" s="9"/>
      <c r="Q41" s="9">
        <v>0</v>
      </c>
      <c r="R41" s="11" t="s">
        <v>392</v>
      </c>
      <c r="S41" s="9">
        <v>1</v>
      </c>
      <c r="T41" s="16"/>
      <c r="U41" s="9">
        <v>0</v>
      </c>
      <c r="V41" s="16"/>
      <c r="W41" s="9">
        <v>0</v>
      </c>
      <c r="X41" s="6"/>
    </row>
    <row r="42" ht="27" spans="1:24">
      <c r="A42" s="18"/>
      <c r="B42" s="17" t="s">
        <v>393</v>
      </c>
      <c r="C42" s="17" t="s">
        <v>399</v>
      </c>
      <c r="D42" s="8">
        <v>1</v>
      </c>
      <c r="E42" s="11" t="s">
        <v>325</v>
      </c>
      <c r="F42" s="6"/>
      <c r="G42" s="11"/>
      <c r="H42" s="6"/>
      <c r="I42" s="6"/>
      <c r="J42" s="6">
        <v>93</v>
      </c>
      <c r="K42" s="6"/>
      <c r="L42" s="6"/>
      <c r="M42" s="11" t="s">
        <v>400</v>
      </c>
      <c r="N42" s="8"/>
      <c r="O42" s="9"/>
      <c r="P42" s="9"/>
      <c r="Q42" s="9">
        <v>0</v>
      </c>
      <c r="R42" s="11" t="s">
        <v>392</v>
      </c>
      <c r="S42" s="9">
        <v>1</v>
      </c>
      <c r="T42" s="16"/>
      <c r="U42" s="9">
        <v>0</v>
      </c>
      <c r="V42" s="16"/>
      <c r="W42" s="9">
        <v>0</v>
      </c>
      <c r="X42" s="6"/>
    </row>
    <row r="43" ht="27" spans="1:24">
      <c r="A43" s="20" t="s">
        <v>91</v>
      </c>
      <c r="B43" s="17" t="s">
        <v>401</v>
      </c>
      <c r="C43" s="11" t="s">
        <v>386</v>
      </c>
      <c r="D43" s="9">
        <v>1</v>
      </c>
      <c r="E43" s="11" t="s">
        <v>325</v>
      </c>
      <c r="F43" s="6"/>
      <c r="G43" s="11"/>
      <c r="H43" s="6"/>
      <c r="I43" s="6"/>
      <c r="J43" s="6"/>
      <c r="K43" s="6"/>
      <c r="L43" s="6"/>
      <c r="M43" s="11" t="s">
        <v>325</v>
      </c>
      <c r="N43" s="11"/>
      <c r="O43" s="11" t="s">
        <v>402</v>
      </c>
      <c r="P43" s="11"/>
      <c r="Q43" s="9">
        <v>0</v>
      </c>
      <c r="R43" s="16"/>
      <c r="S43" s="9">
        <v>0</v>
      </c>
      <c r="T43" s="11" t="s">
        <v>388</v>
      </c>
      <c r="U43" s="9">
        <v>1</v>
      </c>
      <c r="V43" s="16"/>
      <c r="W43" s="9">
        <v>0</v>
      </c>
      <c r="X43" s="6"/>
    </row>
    <row r="44" ht="19" customHeight="1" spans="1:24">
      <c r="A44" s="21"/>
      <c r="B44" s="17" t="s">
        <v>403</v>
      </c>
      <c r="C44" s="17" t="s">
        <v>390</v>
      </c>
      <c r="D44" s="8">
        <v>1</v>
      </c>
      <c r="E44" s="11" t="s">
        <v>325</v>
      </c>
      <c r="F44" s="6"/>
      <c r="G44" s="11"/>
      <c r="H44" s="6"/>
      <c r="I44" s="6"/>
      <c r="J44" s="6">
        <v>200</v>
      </c>
      <c r="K44" s="6"/>
      <c r="L44" s="6"/>
      <c r="M44" s="11" t="s">
        <v>404</v>
      </c>
      <c r="N44" s="8"/>
      <c r="O44" s="9"/>
      <c r="P44" s="9"/>
      <c r="Q44" s="9">
        <v>0</v>
      </c>
      <c r="R44" s="11" t="s">
        <v>392</v>
      </c>
      <c r="S44" s="9">
        <v>1</v>
      </c>
      <c r="T44" s="16"/>
      <c r="U44" s="9">
        <v>0</v>
      </c>
      <c r="V44" s="16"/>
      <c r="W44" s="9">
        <v>0</v>
      </c>
      <c r="X44" s="43" t="s">
        <v>70</v>
      </c>
    </row>
    <row r="45" ht="27" spans="1:24">
      <c r="A45" s="21"/>
      <c r="B45" s="17" t="s">
        <v>395</v>
      </c>
      <c r="C45" s="11" t="s">
        <v>386</v>
      </c>
      <c r="D45" s="9">
        <v>1</v>
      </c>
      <c r="E45" s="11" t="s">
        <v>325</v>
      </c>
      <c r="F45" s="6"/>
      <c r="G45" s="11"/>
      <c r="H45" s="6"/>
      <c r="I45" s="6"/>
      <c r="J45" s="6"/>
      <c r="K45" s="6"/>
      <c r="L45" s="6"/>
      <c r="M45" s="11" t="s">
        <v>325</v>
      </c>
      <c r="N45" s="11"/>
      <c r="O45" s="11" t="s">
        <v>405</v>
      </c>
      <c r="P45" s="11"/>
      <c r="Q45" s="9">
        <v>0</v>
      </c>
      <c r="R45" s="16"/>
      <c r="S45" s="9">
        <v>0</v>
      </c>
      <c r="T45" s="11" t="s">
        <v>388</v>
      </c>
      <c r="U45" s="9">
        <v>1</v>
      </c>
      <c r="V45" s="16"/>
      <c r="W45" s="9">
        <v>0</v>
      </c>
      <c r="X45" s="43"/>
    </row>
    <row r="46" ht="22" customHeight="1" spans="1:24">
      <c r="A46" s="21"/>
      <c r="B46" s="17" t="s">
        <v>403</v>
      </c>
      <c r="C46" s="17" t="s">
        <v>390</v>
      </c>
      <c r="D46" s="8">
        <v>1</v>
      </c>
      <c r="E46" s="11" t="s">
        <v>325</v>
      </c>
      <c r="F46" s="6"/>
      <c r="G46" s="11"/>
      <c r="H46" s="6"/>
      <c r="I46" s="6"/>
      <c r="J46" s="6">
        <v>179</v>
      </c>
      <c r="K46" s="6"/>
      <c r="L46" s="6"/>
      <c r="M46" s="11" t="s">
        <v>406</v>
      </c>
      <c r="N46" s="8"/>
      <c r="O46" s="9"/>
      <c r="P46" s="9"/>
      <c r="Q46" s="9">
        <v>0</v>
      </c>
      <c r="R46" s="11" t="s">
        <v>392</v>
      </c>
      <c r="S46" s="9">
        <v>1</v>
      </c>
      <c r="T46" s="16"/>
      <c r="U46" s="9">
        <v>0</v>
      </c>
      <c r="V46" s="16"/>
      <c r="W46" s="9">
        <v>0</v>
      </c>
      <c r="X46" s="43" t="s">
        <v>70</v>
      </c>
    </row>
    <row r="47" ht="22.5" customHeight="1" spans="1:24">
      <c r="A47" s="17" t="s">
        <v>98</v>
      </c>
      <c r="B47" s="20" t="s">
        <v>99</v>
      </c>
      <c r="C47" s="11" t="s">
        <v>386</v>
      </c>
      <c r="D47" s="9">
        <v>1</v>
      </c>
      <c r="E47" s="11" t="s">
        <v>325</v>
      </c>
      <c r="F47" s="6"/>
      <c r="G47" s="11"/>
      <c r="H47" s="6"/>
      <c r="I47" s="6"/>
      <c r="J47" s="6"/>
      <c r="K47" s="6"/>
      <c r="L47" s="6"/>
      <c r="M47" s="11" t="s">
        <v>325</v>
      </c>
      <c r="N47" s="11"/>
      <c r="O47" s="11" t="s">
        <v>407</v>
      </c>
      <c r="P47" s="11"/>
      <c r="Q47" s="9">
        <v>0</v>
      </c>
      <c r="R47" s="16"/>
      <c r="S47" s="9">
        <v>0</v>
      </c>
      <c r="T47" s="11" t="s">
        <v>388</v>
      </c>
      <c r="U47" s="9">
        <v>1</v>
      </c>
      <c r="V47" s="16"/>
      <c r="W47" s="9">
        <v>0</v>
      </c>
      <c r="X47" s="43"/>
    </row>
    <row r="48" ht="29.25" customHeight="1" spans="1:24">
      <c r="A48" s="17"/>
      <c r="B48" s="22"/>
      <c r="C48" s="17" t="s">
        <v>390</v>
      </c>
      <c r="D48" s="8">
        <v>1</v>
      </c>
      <c r="E48" s="11" t="s">
        <v>325</v>
      </c>
      <c r="F48" s="6"/>
      <c r="G48" s="11"/>
      <c r="H48" s="6"/>
      <c r="I48" s="6"/>
      <c r="J48" s="6">
        <v>130</v>
      </c>
      <c r="K48" s="6"/>
      <c r="L48" s="6"/>
      <c r="M48" s="11" t="s">
        <v>408</v>
      </c>
      <c r="N48" s="8"/>
      <c r="O48" s="9"/>
      <c r="P48" s="9"/>
      <c r="Q48" s="9">
        <v>0</v>
      </c>
      <c r="R48" s="11" t="s">
        <v>392</v>
      </c>
      <c r="S48" s="9">
        <v>1</v>
      </c>
      <c r="T48" s="16"/>
      <c r="U48" s="9">
        <v>0</v>
      </c>
      <c r="V48" s="16"/>
      <c r="W48" s="9">
        <v>0</v>
      </c>
      <c r="X48" s="43"/>
    </row>
    <row r="49" ht="23.25" customHeight="1" spans="1:24">
      <c r="A49" s="17"/>
      <c r="B49" s="20" t="s">
        <v>103</v>
      </c>
      <c r="C49" s="11" t="s">
        <v>386</v>
      </c>
      <c r="D49" s="9">
        <v>1</v>
      </c>
      <c r="E49" s="11" t="s">
        <v>325</v>
      </c>
      <c r="F49" s="6"/>
      <c r="G49" s="11"/>
      <c r="H49" s="6"/>
      <c r="I49" s="6"/>
      <c r="J49" s="6"/>
      <c r="K49" s="6"/>
      <c r="L49" s="6"/>
      <c r="M49" s="11" t="s">
        <v>325</v>
      </c>
      <c r="N49" s="11"/>
      <c r="O49" s="11" t="s">
        <v>409</v>
      </c>
      <c r="P49" s="11"/>
      <c r="Q49" s="9">
        <v>0</v>
      </c>
      <c r="R49" s="16"/>
      <c r="S49" s="9">
        <v>0</v>
      </c>
      <c r="T49" s="11" t="s">
        <v>388</v>
      </c>
      <c r="U49" s="9">
        <v>1</v>
      </c>
      <c r="V49" s="16"/>
      <c r="W49" s="9">
        <v>0</v>
      </c>
      <c r="X49" s="43"/>
    </row>
    <row r="50" ht="26.25" customHeight="1" spans="1:24">
      <c r="A50" s="17"/>
      <c r="B50" s="22"/>
      <c r="C50" s="17" t="s">
        <v>390</v>
      </c>
      <c r="D50" s="8">
        <v>1</v>
      </c>
      <c r="E50" s="11" t="s">
        <v>325</v>
      </c>
      <c r="F50" s="6"/>
      <c r="G50" s="11"/>
      <c r="H50" s="6"/>
      <c r="I50" s="6"/>
      <c r="J50" s="6">
        <v>106</v>
      </c>
      <c r="K50" s="6"/>
      <c r="L50" s="6"/>
      <c r="M50" s="11" t="s">
        <v>410</v>
      </c>
      <c r="N50" s="8"/>
      <c r="O50" s="9"/>
      <c r="P50" s="9"/>
      <c r="Q50" s="9">
        <v>0</v>
      </c>
      <c r="R50" s="11" t="s">
        <v>392</v>
      </c>
      <c r="S50" s="9">
        <v>1</v>
      </c>
      <c r="T50" s="16"/>
      <c r="U50" s="9">
        <v>0</v>
      </c>
      <c r="V50" s="16"/>
      <c r="W50" s="9">
        <v>0</v>
      </c>
      <c r="X50" s="43"/>
    </row>
    <row r="51" ht="24" customHeight="1" spans="1:24">
      <c r="A51" s="17"/>
      <c r="B51" s="20" t="s">
        <v>107</v>
      </c>
      <c r="C51" s="11" t="s">
        <v>386</v>
      </c>
      <c r="D51" s="9">
        <v>1</v>
      </c>
      <c r="E51" s="11" t="s">
        <v>325</v>
      </c>
      <c r="F51" s="6"/>
      <c r="G51" s="11"/>
      <c r="H51" s="6"/>
      <c r="I51" s="6"/>
      <c r="J51" s="6"/>
      <c r="K51" s="6"/>
      <c r="L51" s="6"/>
      <c r="M51" s="11" t="s">
        <v>325</v>
      </c>
      <c r="N51" s="11"/>
      <c r="O51" s="11" t="s">
        <v>411</v>
      </c>
      <c r="P51" s="11"/>
      <c r="Q51" s="9">
        <v>0</v>
      </c>
      <c r="R51" s="16"/>
      <c r="S51" s="9">
        <v>0</v>
      </c>
      <c r="T51" s="11" t="s">
        <v>388</v>
      </c>
      <c r="U51" s="9">
        <v>1</v>
      </c>
      <c r="V51" s="16"/>
      <c r="W51" s="9">
        <v>0</v>
      </c>
      <c r="X51" s="43"/>
    </row>
    <row r="52" ht="30" customHeight="1" spans="1:24">
      <c r="A52" s="17"/>
      <c r="B52" s="22"/>
      <c r="C52" s="17" t="s">
        <v>390</v>
      </c>
      <c r="D52" s="8">
        <v>1</v>
      </c>
      <c r="E52" s="11" t="s">
        <v>325</v>
      </c>
      <c r="F52" s="6"/>
      <c r="G52" s="11"/>
      <c r="H52" s="6"/>
      <c r="I52" s="6"/>
      <c r="J52" s="6">
        <v>112</v>
      </c>
      <c r="K52" s="6"/>
      <c r="L52" s="6"/>
      <c r="M52" s="11" t="s">
        <v>412</v>
      </c>
      <c r="N52" s="8"/>
      <c r="O52" s="9"/>
      <c r="P52" s="9"/>
      <c r="Q52" s="9">
        <v>0</v>
      </c>
      <c r="R52" s="11" t="s">
        <v>392</v>
      </c>
      <c r="S52" s="9">
        <v>1</v>
      </c>
      <c r="T52" s="16"/>
      <c r="U52" s="9">
        <v>0</v>
      </c>
      <c r="V52" s="16"/>
      <c r="W52" s="9">
        <v>0</v>
      </c>
      <c r="X52" s="43"/>
    </row>
    <row r="53" ht="30" customHeight="1" spans="1:24">
      <c r="A53" s="7" t="s">
        <v>111</v>
      </c>
      <c r="B53" s="20" t="s">
        <v>116</v>
      </c>
      <c r="C53" s="17" t="s">
        <v>279</v>
      </c>
      <c r="D53" s="8">
        <v>1</v>
      </c>
      <c r="E53" s="11" t="s">
        <v>325</v>
      </c>
      <c r="F53" s="6"/>
      <c r="G53" s="11"/>
      <c r="H53" s="6"/>
      <c r="I53" s="6"/>
      <c r="J53" s="6"/>
      <c r="K53" s="6"/>
      <c r="L53" s="6"/>
      <c r="M53" s="11" t="s">
        <v>413</v>
      </c>
      <c r="N53" s="8"/>
      <c r="O53" s="9"/>
      <c r="P53" s="9"/>
      <c r="Q53" s="9">
        <v>1</v>
      </c>
      <c r="R53" s="11"/>
      <c r="S53" s="9">
        <v>1</v>
      </c>
      <c r="T53" s="16"/>
      <c r="U53" s="9">
        <v>0</v>
      </c>
      <c r="V53" s="16"/>
      <c r="W53" s="9">
        <v>0</v>
      </c>
      <c r="X53" s="43" t="s">
        <v>279</v>
      </c>
    </row>
    <row r="54" ht="30" customHeight="1" spans="1:24">
      <c r="A54" s="18"/>
      <c r="B54" s="22"/>
      <c r="C54" s="17" t="s">
        <v>279</v>
      </c>
      <c r="D54" s="8">
        <v>1</v>
      </c>
      <c r="E54" s="11" t="s">
        <v>325</v>
      </c>
      <c r="F54" s="6"/>
      <c r="G54" s="11"/>
      <c r="H54" s="6"/>
      <c r="I54" s="6"/>
      <c r="J54" s="6"/>
      <c r="K54" s="6"/>
      <c r="L54" s="6"/>
      <c r="M54" s="11" t="s">
        <v>414</v>
      </c>
      <c r="N54" s="8"/>
      <c r="O54" s="9"/>
      <c r="P54" s="9"/>
      <c r="Q54" s="9">
        <v>1</v>
      </c>
      <c r="R54" s="11"/>
      <c r="S54" s="9">
        <v>1</v>
      </c>
      <c r="T54" s="16"/>
      <c r="U54" s="9">
        <v>0</v>
      </c>
      <c r="V54" s="16"/>
      <c r="W54" s="9">
        <v>0</v>
      </c>
      <c r="X54" s="43" t="s">
        <v>279</v>
      </c>
    </row>
    <row r="55" ht="30" customHeight="1" spans="1:24">
      <c r="A55" s="7" t="s">
        <v>415</v>
      </c>
      <c r="B55" s="22" t="s">
        <v>416</v>
      </c>
      <c r="C55" s="17" t="s">
        <v>417</v>
      </c>
      <c r="D55" s="8">
        <v>1</v>
      </c>
      <c r="E55" s="11" t="s">
        <v>418</v>
      </c>
      <c r="F55" s="6"/>
      <c r="G55" s="11"/>
      <c r="I55" s="6"/>
      <c r="J55" s="35">
        <v>100</v>
      </c>
      <c r="K55" s="6"/>
      <c r="L55" s="6"/>
      <c r="M55" s="11" t="s">
        <v>419</v>
      </c>
      <c r="N55" s="8"/>
      <c r="O55" s="9"/>
      <c r="P55" s="11" t="s">
        <v>39</v>
      </c>
      <c r="Q55" s="9">
        <v>1</v>
      </c>
      <c r="R55" s="11" t="s">
        <v>316</v>
      </c>
      <c r="S55" s="9">
        <v>1</v>
      </c>
      <c r="T55" s="16"/>
      <c r="U55" s="9">
        <v>0</v>
      </c>
      <c r="V55" s="16"/>
      <c r="W55" s="9">
        <v>0</v>
      </c>
      <c r="X55" s="43"/>
    </row>
    <row r="56" ht="30" customHeight="1" spans="1:24">
      <c r="A56" s="12"/>
      <c r="B56" s="22" t="s">
        <v>420</v>
      </c>
      <c r="C56" s="17" t="s">
        <v>421</v>
      </c>
      <c r="D56" s="8">
        <v>1</v>
      </c>
      <c r="E56" s="11" t="s">
        <v>325</v>
      </c>
      <c r="F56" s="23"/>
      <c r="G56" s="11"/>
      <c r="H56" s="23">
        <v>100</v>
      </c>
      <c r="I56" s="6"/>
      <c r="J56" s="6"/>
      <c r="K56" s="5"/>
      <c r="L56" s="5"/>
      <c r="M56" s="11" t="s">
        <v>325</v>
      </c>
      <c r="N56" s="8"/>
      <c r="O56" s="9"/>
      <c r="P56" s="9"/>
      <c r="Q56" s="9">
        <v>0</v>
      </c>
      <c r="R56" s="11" t="s">
        <v>422</v>
      </c>
      <c r="S56" s="9">
        <v>1</v>
      </c>
      <c r="T56" s="16"/>
      <c r="U56" s="9">
        <v>0</v>
      </c>
      <c r="V56" s="16"/>
      <c r="W56" s="9">
        <v>0</v>
      </c>
      <c r="X56" s="43"/>
    </row>
    <row r="57" ht="30" customHeight="1" spans="1:24">
      <c r="A57" s="18"/>
      <c r="B57" s="22" t="s">
        <v>420</v>
      </c>
      <c r="C57" s="17" t="s">
        <v>423</v>
      </c>
      <c r="D57" s="8">
        <v>1</v>
      </c>
      <c r="E57" s="11" t="s">
        <v>325</v>
      </c>
      <c r="F57" s="23"/>
      <c r="G57" s="11"/>
      <c r="H57" s="23"/>
      <c r="I57" s="6"/>
      <c r="J57" s="6"/>
      <c r="K57" s="5"/>
      <c r="L57" s="5"/>
      <c r="M57" s="11" t="s">
        <v>325</v>
      </c>
      <c r="N57" s="8"/>
      <c r="O57" s="9"/>
      <c r="P57" s="9"/>
      <c r="Q57" s="9">
        <v>0</v>
      </c>
      <c r="R57" s="11" t="s">
        <v>424</v>
      </c>
      <c r="S57" s="9">
        <v>1</v>
      </c>
      <c r="T57" s="16"/>
      <c r="U57" s="9">
        <v>0</v>
      </c>
      <c r="V57" s="16"/>
      <c r="W57" s="9">
        <v>0</v>
      </c>
      <c r="X57" s="43"/>
    </row>
    <row r="58" ht="32.25" customHeight="1" spans="1:24">
      <c r="A58" s="7" t="s">
        <v>120</v>
      </c>
      <c r="B58" s="17" t="s">
        <v>425</v>
      </c>
      <c r="C58" s="17" t="s">
        <v>417</v>
      </c>
      <c r="D58" s="8">
        <v>1</v>
      </c>
      <c r="E58" s="24" t="s">
        <v>426</v>
      </c>
      <c r="F58" s="23"/>
      <c r="G58" s="11"/>
      <c r="H58" s="23"/>
      <c r="I58" s="23"/>
      <c r="J58" s="23"/>
      <c r="K58" s="6"/>
      <c r="L58" s="6"/>
      <c r="M58" s="11" t="s">
        <v>427</v>
      </c>
      <c r="N58" s="8"/>
      <c r="O58" s="9"/>
      <c r="P58" s="11" t="s">
        <v>39</v>
      </c>
      <c r="Q58" s="9">
        <v>1</v>
      </c>
      <c r="R58" s="11" t="s">
        <v>316</v>
      </c>
      <c r="S58" s="9">
        <v>1</v>
      </c>
      <c r="T58" s="16"/>
      <c r="U58" s="9">
        <v>0</v>
      </c>
      <c r="V58" s="16"/>
      <c r="W58" s="9">
        <v>0</v>
      </c>
      <c r="X58" s="43"/>
    </row>
    <row r="59" ht="43.5" customHeight="1" spans="1:24">
      <c r="A59" s="18"/>
      <c r="B59" s="17" t="s">
        <v>428</v>
      </c>
      <c r="C59" s="25" t="s">
        <v>429</v>
      </c>
      <c r="D59" s="8">
        <v>2</v>
      </c>
      <c r="E59" s="17" t="s">
        <v>430</v>
      </c>
      <c r="F59" s="6"/>
      <c r="G59" s="17"/>
      <c r="H59" s="6"/>
      <c r="I59" s="23">
        <v>16</v>
      </c>
      <c r="J59" s="6"/>
      <c r="K59" s="6"/>
      <c r="L59" s="6"/>
      <c r="M59" s="11" t="s">
        <v>325</v>
      </c>
      <c r="N59" s="8"/>
      <c r="O59" s="8"/>
      <c r="P59" s="9"/>
      <c r="Q59" s="9">
        <v>0</v>
      </c>
      <c r="R59" s="11" t="s">
        <v>431</v>
      </c>
      <c r="S59" s="9">
        <v>2</v>
      </c>
      <c r="T59" s="16"/>
      <c r="U59" s="9">
        <v>0</v>
      </c>
      <c r="V59" s="16"/>
      <c r="W59" s="9">
        <v>0</v>
      </c>
      <c r="X59" s="6"/>
    </row>
    <row r="60" ht="29.25" customHeight="1" spans="1:24">
      <c r="A60" s="7" t="s">
        <v>124</v>
      </c>
      <c r="B60" s="8" t="s">
        <v>432</v>
      </c>
      <c r="C60" s="8" t="s">
        <v>433</v>
      </c>
      <c r="D60" s="9">
        <v>1</v>
      </c>
      <c r="E60" s="24" t="s">
        <v>426</v>
      </c>
      <c r="F60" s="6"/>
      <c r="G60" s="11"/>
      <c r="H60" s="6"/>
      <c r="I60" s="6"/>
      <c r="J60" s="6"/>
      <c r="K60" s="6"/>
      <c r="L60" s="6"/>
      <c r="M60" s="11" t="s">
        <v>434</v>
      </c>
      <c r="N60" s="9"/>
      <c r="O60" s="9"/>
      <c r="P60" s="11" t="s">
        <v>39</v>
      </c>
      <c r="Q60" s="9">
        <v>1</v>
      </c>
      <c r="R60" s="11" t="s">
        <v>316</v>
      </c>
      <c r="S60" s="9">
        <v>1</v>
      </c>
      <c r="T60" s="16"/>
      <c r="U60" s="9">
        <v>0</v>
      </c>
      <c r="V60" s="16"/>
      <c r="W60" s="9">
        <v>0</v>
      </c>
      <c r="X60" s="6"/>
    </row>
    <row r="61" ht="30.75" customHeight="1" spans="1:24">
      <c r="A61" s="12"/>
      <c r="B61" s="8" t="s">
        <v>428</v>
      </c>
      <c r="C61" s="26" t="s">
        <v>435</v>
      </c>
      <c r="D61" s="9">
        <v>1</v>
      </c>
      <c r="E61" s="17" t="s">
        <v>436</v>
      </c>
      <c r="F61" s="6"/>
      <c r="G61" s="17"/>
      <c r="H61" s="6"/>
      <c r="I61" s="6">
        <v>10</v>
      </c>
      <c r="K61" s="6"/>
      <c r="L61" s="6"/>
      <c r="M61" s="11" t="s">
        <v>325</v>
      </c>
      <c r="N61" s="9"/>
      <c r="O61" s="9"/>
      <c r="P61" s="11"/>
      <c r="Q61" s="9">
        <v>0</v>
      </c>
      <c r="R61" s="11" t="s">
        <v>437</v>
      </c>
      <c r="S61" s="9">
        <v>2</v>
      </c>
      <c r="T61" s="16"/>
      <c r="U61" s="9">
        <v>0</v>
      </c>
      <c r="V61" s="16"/>
      <c r="W61" s="9">
        <v>0</v>
      </c>
      <c r="X61" s="6"/>
    </row>
    <row r="62" ht="30" customHeight="1" spans="1:24">
      <c r="A62" s="18"/>
      <c r="B62" s="8" t="s">
        <v>438</v>
      </c>
      <c r="C62" s="27" t="s">
        <v>439</v>
      </c>
      <c r="D62" s="9">
        <v>3</v>
      </c>
      <c r="E62" s="17" t="s">
        <v>325</v>
      </c>
      <c r="F62" s="6"/>
      <c r="G62" s="11"/>
      <c r="H62" s="6"/>
      <c r="I62" s="6"/>
      <c r="J62" s="6"/>
      <c r="K62" s="6">
        <v>43</v>
      </c>
      <c r="L62" s="6"/>
      <c r="M62" s="11" t="s">
        <v>325</v>
      </c>
      <c r="N62" s="11"/>
      <c r="O62" s="33" t="s">
        <v>326</v>
      </c>
      <c r="P62" s="11"/>
      <c r="Q62" s="9">
        <v>0</v>
      </c>
      <c r="R62" s="16"/>
      <c r="S62" s="9">
        <v>0</v>
      </c>
      <c r="T62" s="11" t="s">
        <v>327</v>
      </c>
      <c r="U62" s="9">
        <v>1</v>
      </c>
      <c r="V62" s="16"/>
      <c r="W62" s="9">
        <v>0</v>
      </c>
      <c r="X62" s="6"/>
    </row>
    <row r="63" ht="27" spans="1:24">
      <c r="A63" s="7" t="s">
        <v>440</v>
      </c>
      <c r="B63" s="8" t="s">
        <v>432</v>
      </c>
      <c r="C63" s="8" t="s">
        <v>433</v>
      </c>
      <c r="D63" s="9">
        <v>1</v>
      </c>
      <c r="E63" s="24" t="s">
        <v>426</v>
      </c>
      <c r="F63" s="6"/>
      <c r="G63" s="11"/>
      <c r="H63" s="6"/>
      <c r="I63" s="6"/>
      <c r="J63" s="6"/>
      <c r="K63" s="6"/>
      <c r="L63" s="6"/>
      <c r="M63" s="11" t="s">
        <v>441</v>
      </c>
      <c r="N63" s="9"/>
      <c r="O63" s="9"/>
      <c r="P63" s="11" t="s">
        <v>39</v>
      </c>
      <c r="Q63" s="9">
        <v>1</v>
      </c>
      <c r="R63" s="11" t="s">
        <v>316</v>
      </c>
      <c r="S63" s="9">
        <v>1</v>
      </c>
      <c r="T63" s="16"/>
      <c r="U63" s="9">
        <v>0</v>
      </c>
      <c r="V63" s="16"/>
      <c r="W63" s="9">
        <v>0</v>
      </c>
      <c r="X63" s="6"/>
    </row>
    <row r="64" ht="29.25" customHeight="1" spans="1:24">
      <c r="A64" s="12"/>
      <c r="B64" s="8" t="s">
        <v>428</v>
      </c>
      <c r="C64" s="26" t="s">
        <v>435</v>
      </c>
      <c r="D64" s="9">
        <v>1</v>
      </c>
      <c r="E64" s="17" t="s">
        <v>436</v>
      </c>
      <c r="F64" s="6"/>
      <c r="G64" s="17"/>
      <c r="H64" s="6"/>
      <c r="I64" s="6">
        <v>10</v>
      </c>
      <c r="J64" s="6"/>
      <c r="K64" s="6"/>
      <c r="L64" s="6"/>
      <c r="M64" s="11" t="s">
        <v>325</v>
      </c>
      <c r="N64" s="9"/>
      <c r="O64" s="9"/>
      <c r="P64" s="34"/>
      <c r="Q64" s="9">
        <v>0</v>
      </c>
      <c r="R64" s="11" t="s">
        <v>437</v>
      </c>
      <c r="S64" s="9">
        <v>2</v>
      </c>
      <c r="T64" s="16"/>
      <c r="U64" s="9">
        <v>0</v>
      </c>
      <c r="V64" s="16"/>
      <c r="W64" s="9">
        <v>0</v>
      </c>
      <c r="X64" s="6"/>
    </row>
    <row r="65" ht="31.5" customHeight="1" spans="1:24">
      <c r="A65" s="18"/>
      <c r="B65" s="8" t="s">
        <v>442</v>
      </c>
      <c r="C65" s="27" t="s">
        <v>439</v>
      </c>
      <c r="D65" s="9">
        <v>3</v>
      </c>
      <c r="E65" s="17" t="s">
        <v>325</v>
      </c>
      <c r="F65" s="6"/>
      <c r="G65" s="11"/>
      <c r="H65" s="6"/>
      <c r="I65" s="6"/>
      <c r="J65" s="6"/>
      <c r="K65" s="6">
        <v>43</v>
      </c>
      <c r="L65" s="6"/>
      <c r="M65" s="11" t="s">
        <v>325</v>
      </c>
      <c r="N65" s="11"/>
      <c r="O65" s="33" t="s">
        <v>326</v>
      </c>
      <c r="P65" s="34"/>
      <c r="Q65" s="9">
        <v>0</v>
      </c>
      <c r="R65" s="16"/>
      <c r="S65" s="9">
        <v>0</v>
      </c>
      <c r="T65" s="11" t="s">
        <v>327</v>
      </c>
      <c r="U65" s="9">
        <v>1</v>
      </c>
      <c r="V65" s="16"/>
      <c r="W65" s="9">
        <v>0</v>
      </c>
      <c r="X65" s="6"/>
    </row>
    <row r="66" ht="28.5" customHeight="1" spans="1:24">
      <c r="A66" s="7" t="s">
        <v>134</v>
      </c>
      <c r="B66" s="8" t="s">
        <v>443</v>
      </c>
      <c r="C66" s="9" t="s">
        <v>443</v>
      </c>
      <c r="D66" s="9">
        <v>1</v>
      </c>
      <c r="E66" s="45" t="s">
        <v>444</v>
      </c>
      <c r="F66" s="6"/>
      <c r="G66" s="11"/>
      <c r="H66" s="6"/>
      <c r="I66" s="6"/>
      <c r="J66" s="6"/>
      <c r="K66" s="6"/>
      <c r="L66" s="6"/>
      <c r="M66" s="11" t="s">
        <v>445</v>
      </c>
      <c r="N66" s="9"/>
      <c r="O66" s="9"/>
      <c r="P66" s="11" t="s">
        <v>39</v>
      </c>
      <c r="Q66" s="9">
        <v>1</v>
      </c>
      <c r="R66" s="11" t="s">
        <v>316</v>
      </c>
      <c r="S66" s="9">
        <v>1</v>
      </c>
      <c r="T66" s="16"/>
      <c r="U66" s="9">
        <v>0</v>
      </c>
      <c r="V66" s="16"/>
      <c r="W66" s="9">
        <v>0</v>
      </c>
      <c r="X66" s="6"/>
    </row>
    <row r="67" ht="33" customHeight="1" spans="1:24">
      <c r="A67" s="18"/>
      <c r="B67" s="8" t="s">
        <v>428</v>
      </c>
      <c r="C67" s="26" t="s">
        <v>435</v>
      </c>
      <c r="D67" s="9">
        <v>1</v>
      </c>
      <c r="E67" s="17" t="s">
        <v>436</v>
      </c>
      <c r="F67" s="6"/>
      <c r="G67" s="17"/>
      <c r="H67" s="6"/>
      <c r="I67" s="6">
        <v>10</v>
      </c>
      <c r="J67" s="6"/>
      <c r="K67" s="6"/>
      <c r="L67" s="6"/>
      <c r="M67" s="11" t="s">
        <v>325</v>
      </c>
      <c r="N67" s="9"/>
      <c r="O67" s="9"/>
      <c r="P67" s="11"/>
      <c r="Q67" s="9">
        <v>0</v>
      </c>
      <c r="R67" s="11" t="s">
        <v>437</v>
      </c>
      <c r="S67" s="9">
        <v>2</v>
      </c>
      <c r="T67" s="16"/>
      <c r="U67" s="9">
        <v>0</v>
      </c>
      <c r="V67" s="16"/>
      <c r="W67" s="9">
        <v>0</v>
      </c>
      <c r="X67" s="6"/>
    </row>
    <row r="68" ht="27" spans="1:24">
      <c r="A68" s="7" t="s">
        <v>140</v>
      </c>
      <c r="B68" s="8" t="s">
        <v>446</v>
      </c>
      <c r="C68" s="8" t="s">
        <v>433</v>
      </c>
      <c r="D68" s="9">
        <v>1</v>
      </c>
      <c r="E68" s="45" t="s">
        <v>444</v>
      </c>
      <c r="F68" s="6"/>
      <c r="G68" s="11"/>
      <c r="H68" s="6"/>
      <c r="I68" s="6"/>
      <c r="J68" s="6"/>
      <c r="K68" s="6"/>
      <c r="L68" s="6"/>
      <c r="M68" s="11" t="s">
        <v>447</v>
      </c>
      <c r="N68" s="9"/>
      <c r="O68" s="9"/>
      <c r="P68" s="11" t="s">
        <v>39</v>
      </c>
      <c r="Q68" s="9">
        <v>1</v>
      </c>
      <c r="R68" s="11" t="s">
        <v>316</v>
      </c>
      <c r="S68" s="9">
        <v>1</v>
      </c>
      <c r="T68" s="16"/>
      <c r="U68" s="9">
        <v>0</v>
      </c>
      <c r="V68" s="16"/>
      <c r="W68" s="9">
        <v>0</v>
      </c>
      <c r="X68" s="6"/>
    </row>
    <row r="69" ht="29" customHeight="1" spans="1:24">
      <c r="A69" s="12"/>
      <c r="B69" s="8" t="s">
        <v>428</v>
      </c>
      <c r="C69" s="26" t="s">
        <v>435</v>
      </c>
      <c r="D69" s="9">
        <v>1</v>
      </c>
      <c r="E69" s="17" t="s">
        <v>436</v>
      </c>
      <c r="F69" s="6"/>
      <c r="G69" s="17"/>
      <c r="H69" s="6"/>
      <c r="I69" s="6">
        <v>10</v>
      </c>
      <c r="J69" s="6"/>
      <c r="K69" s="6"/>
      <c r="L69" s="6"/>
      <c r="M69" s="11" t="s">
        <v>325</v>
      </c>
      <c r="N69" s="9"/>
      <c r="O69" s="9"/>
      <c r="P69" s="11"/>
      <c r="Q69" s="9">
        <v>0</v>
      </c>
      <c r="R69" s="11" t="s">
        <v>437</v>
      </c>
      <c r="S69" s="9">
        <v>2</v>
      </c>
      <c r="T69" s="16"/>
      <c r="U69" s="9">
        <v>0</v>
      </c>
      <c r="V69" s="16"/>
      <c r="W69" s="9">
        <v>0</v>
      </c>
      <c r="X69" s="6"/>
    </row>
    <row r="70" ht="29" customHeight="1" spans="1:24">
      <c r="A70" s="12"/>
      <c r="B70" s="8" t="s">
        <v>448</v>
      </c>
      <c r="C70" s="8" t="s">
        <v>449</v>
      </c>
      <c r="D70" s="9">
        <v>1</v>
      </c>
      <c r="E70" s="45" t="s">
        <v>444</v>
      </c>
      <c r="F70" s="6"/>
      <c r="G70" s="11"/>
      <c r="H70" s="6"/>
      <c r="I70" s="6"/>
      <c r="J70" s="6"/>
      <c r="K70" s="6"/>
      <c r="L70" s="6"/>
      <c r="M70" s="11" t="s">
        <v>450</v>
      </c>
      <c r="N70" s="9"/>
      <c r="O70" s="9"/>
      <c r="P70" s="11" t="s">
        <v>39</v>
      </c>
      <c r="Q70" s="9">
        <v>1</v>
      </c>
      <c r="R70" s="11" t="s">
        <v>316</v>
      </c>
      <c r="S70" s="9">
        <v>1</v>
      </c>
      <c r="T70" s="16"/>
      <c r="U70" s="9">
        <v>0</v>
      </c>
      <c r="V70" s="16"/>
      <c r="W70" s="9">
        <v>0</v>
      </c>
      <c r="X70" s="6"/>
    </row>
    <row r="71" ht="28.5" customHeight="1" spans="1:24">
      <c r="A71" s="18"/>
      <c r="B71" s="8" t="s">
        <v>451</v>
      </c>
      <c r="C71" s="27" t="s">
        <v>439</v>
      </c>
      <c r="D71" s="9">
        <v>3</v>
      </c>
      <c r="E71" s="17" t="s">
        <v>325</v>
      </c>
      <c r="F71" s="6"/>
      <c r="G71" s="11"/>
      <c r="H71" s="6"/>
      <c r="I71" s="6"/>
      <c r="J71" s="6"/>
      <c r="K71" s="6">
        <v>43</v>
      </c>
      <c r="L71" s="6"/>
      <c r="M71" s="11" t="s">
        <v>325</v>
      </c>
      <c r="N71" s="11"/>
      <c r="O71" s="33" t="s">
        <v>326</v>
      </c>
      <c r="P71" s="11"/>
      <c r="Q71" s="9">
        <v>0</v>
      </c>
      <c r="R71" s="16"/>
      <c r="S71" s="9">
        <v>0</v>
      </c>
      <c r="T71" s="11" t="s">
        <v>327</v>
      </c>
      <c r="U71" s="9">
        <v>1</v>
      </c>
      <c r="V71" s="16"/>
      <c r="W71" s="9">
        <v>0</v>
      </c>
      <c r="X71" s="6"/>
    </row>
    <row r="72" ht="31.5" customHeight="1" spans="1:24">
      <c r="A72" s="7" t="s">
        <v>452</v>
      </c>
      <c r="B72" s="8" t="s">
        <v>453</v>
      </c>
      <c r="C72" s="8" t="s">
        <v>433</v>
      </c>
      <c r="D72" s="9">
        <v>1</v>
      </c>
      <c r="E72" s="45" t="s">
        <v>444</v>
      </c>
      <c r="F72" s="6"/>
      <c r="G72" s="11"/>
      <c r="H72" s="6"/>
      <c r="I72" s="6"/>
      <c r="J72" s="6"/>
      <c r="K72" s="6"/>
      <c r="L72" s="6"/>
      <c r="M72" s="11" t="s">
        <v>454</v>
      </c>
      <c r="N72" s="9"/>
      <c r="O72" s="9"/>
      <c r="P72" s="11" t="s">
        <v>39</v>
      </c>
      <c r="Q72" s="9">
        <v>1</v>
      </c>
      <c r="R72" s="11" t="s">
        <v>316</v>
      </c>
      <c r="S72" s="9">
        <v>1</v>
      </c>
      <c r="T72" s="16"/>
      <c r="U72" s="9">
        <v>0</v>
      </c>
      <c r="V72" s="16"/>
      <c r="W72" s="9">
        <v>0</v>
      </c>
      <c r="X72" s="6"/>
    </row>
    <row r="73" ht="32" customHeight="1" spans="1:24">
      <c r="A73" s="12"/>
      <c r="B73" s="8" t="s">
        <v>428</v>
      </c>
      <c r="C73" s="8" t="s">
        <v>435</v>
      </c>
      <c r="D73" s="9">
        <v>1</v>
      </c>
      <c r="E73" s="17" t="s">
        <v>436</v>
      </c>
      <c r="F73" s="6"/>
      <c r="G73" s="17"/>
      <c r="H73" s="6"/>
      <c r="I73" s="6">
        <v>10</v>
      </c>
      <c r="J73" s="6"/>
      <c r="K73" s="6"/>
      <c r="L73" s="6"/>
      <c r="M73" s="11" t="s">
        <v>325</v>
      </c>
      <c r="N73" s="9"/>
      <c r="O73" s="9"/>
      <c r="P73" s="34"/>
      <c r="Q73" s="9">
        <v>0</v>
      </c>
      <c r="R73" s="11" t="s">
        <v>437</v>
      </c>
      <c r="S73" s="9">
        <v>2</v>
      </c>
      <c r="T73" s="16"/>
      <c r="U73" s="9">
        <v>0</v>
      </c>
      <c r="V73" s="16"/>
      <c r="W73" s="9">
        <v>0</v>
      </c>
      <c r="X73" s="6"/>
    </row>
    <row r="74" ht="27" spans="1:24">
      <c r="A74" s="12"/>
      <c r="B74" s="8" t="s">
        <v>455</v>
      </c>
      <c r="C74" s="8" t="s">
        <v>449</v>
      </c>
      <c r="D74" s="9">
        <v>1</v>
      </c>
      <c r="E74" s="45" t="s">
        <v>444</v>
      </c>
      <c r="F74" s="6"/>
      <c r="G74" s="11"/>
      <c r="H74" s="6"/>
      <c r="I74" s="6"/>
      <c r="J74" s="6"/>
      <c r="K74" s="6"/>
      <c r="L74" s="6"/>
      <c r="M74" s="11" t="s">
        <v>456</v>
      </c>
      <c r="N74" s="9"/>
      <c r="O74" s="9"/>
      <c r="P74" s="11" t="s">
        <v>39</v>
      </c>
      <c r="Q74" s="9">
        <v>1</v>
      </c>
      <c r="R74" s="11" t="s">
        <v>316</v>
      </c>
      <c r="S74" s="9">
        <v>1</v>
      </c>
      <c r="T74" s="16"/>
      <c r="U74" s="9">
        <v>0</v>
      </c>
      <c r="V74" s="16"/>
      <c r="W74" s="9">
        <v>0</v>
      </c>
      <c r="X74" s="6"/>
    </row>
    <row r="75" ht="31.5" customHeight="1" spans="1:24">
      <c r="A75" s="18"/>
      <c r="B75" s="8" t="s">
        <v>457</v>
      </c>
      <c r="C75" s="27" t="s">
        <v>458</v>
      </c>
      <c r="D75" s="9">
        <v>1</v>
      </c>
      <c r="E75" s="17" t="s">
        <v>325</v>
      </c>
      <c r="F75" s="6"/>
      <c r="G75" s="11"/>
      <c r="H75" s="6"/>
      <c r="I75" s="6"/>
      <c r="J75" s="6"/>
      <c r="K75" s="6">
        <v>43</v>
      </c>
      <c r="L75" s="6"/>
      <c r="M75" s="11" t="s">
        <v>325</v>
      </c>
      <c r="N75" s="6"/>
      <c r="O75" s="33" t="s">
        <v>326</v>
      </c>
      <c r="P75" s="23"/>
      <c r="Q75" s="9">
        <v>0</v>
      </c>
      <c r="R75" s="16"/>
      <c r="S75" s="9">
        <v>0</v>
      </c>
      <c r="T75" s="11" t="s">
        <v>327</v>
      </c>
      <c r="U75" s="9">
        <v>1</v>
      </c>
      <c r="V75" s="16"/>
      <c r="W75" s="9">
        <v>0</v>
      </c>
      <c r="X75" s="6"/>
    </row>
    <row r="76" ht="42" customHeight="1" spans="1:24">
      <c r="A76" s="7" t="s">
        <v>459</v>
      </c>
      <c r="B76" s="8" t="s">
        <v>460</v>
      </c>
      <c r="C76" s="8" t="s">
        <v>417</v>
      </c>
      <c r="D76" s="9">
        <v>1</v>
      </c>
      <c r="E76" s="24" t="s">
        <v>426</v>
      </c>
      <c r="F76" s="6"/>
      <c r="G76" s="11"/>
      <c r="H76" s="6"/>
      <c r="I76" s="6"/>
      <c r="J76" s="6"/>
      <c r="K76" s="6"/>
      <c r="L76" s="6"/>
      <c r="M76" s="11" t="s">
        <v>461</v>
      </c>
      <c r="N76" s="9"/>
      <c r="O76" s="9"/>
      <c r="P76" s="11" t="s">
        <v>39</v>
      </c>
      <c r="Q76" s="9">
        <v>1</v>
      </c>
      <c r="R76" s="11" t="s">
        <v>316</v>
      </c>
      <c r="S76" s="9">
        <v>1</v>
      </c>
      <c r="T76" s="16"/>
      <c r="U76" s="9">
        <v>0</v>
      </c>
      <c r="V76" s="16"/>
      <c r="W76" s="9">
        <v>0</v>
      </c>
      <c r="X76" s="6"/>
    </row>
    <row r="77" ht="27" customHeight="1" spans="1:24">
      <c r="A77" s="12"/>
      <c r="B77" s="20" t="s">
        <v>462</v>
      </c>
      <c r="C77" s="17" t="s">
        <v>463</v>
      </c>
      <c r="D77" s="9">
        <v>1</v>
      </c>
      <c r="E77" s="17" t="s">
        <v>430</v>
      </c>
      <c r="F77" s="46"/>
      <c r="G77" s="17"/>
      <c r="H77" s="46"/>
      <c r="I77" s="23">
        <v>16</v>
      </c>
      <c r="J77" s="6"/>
      <c r="K77" s="5"/>
      <c r="L77" s="5"/>
      <c r="M77" s="11" t="s">
        <v>325</v>
      </c>
      <c r="N77" s="9"/>
      <c r="O77" s="9"/>
      <c r="P77" s="11"/>
      <c r="Q77" s="9">
        <v>0</v>
      </c>
      <c r="R77" s="11" t="s">
        <v>422</v>
      </c>
      <c r="S77" s="9">
        <v>1</v>
      </c>
      <c r="T77" s="16"/>
      <c r="U77" s="9">
        <v>0</v>
      </c>
      <c r="V77" s="16"/>
      <c r="W77" s="9">
        <v>0</v>
      </c>
      <c r="X77" s="6"/>
    </row>
    <row r="78" ht="27" customHeight="1" spans="1:24">
      <c r="A78" s="12"/>
      <c r="B78" s="22"/>
      <c r="C78" s="17" t="s">
        <v>464</v>
      </c>
      <c r="D78" s="9">
        <v>1</v>
      </c>
      <c r="E78" s="17" t="s">
        <v>430</v>
      </c>
      <c r="F78" s="47"/>
      <c r="G78" s="17"/>
      <c r="H78" s="47"/>
      <c r="I78" s="23">
        <v>16</v>
      </c>
      <c r="J78" s="23"/>
      <c r="K78" s="5"/>
      <c r="L78" s="5"/>
      <c r="M78" s="11" t="s">
        <v>325</v>
      </c>
      <c r="N78" s="6"/>
      <c r="O78" s="6"/>
      <c r="P78" s="23"/>
      <c r="Q78" s="23">
        <v>0</v>
      </c>
      <c r="R78" s="63" t="s">
        <v>424</v>
      </c>
      <c r="S78" s="23">
        <v>1</v>
      </c>
      <c r="T78" s="6"/>
      <c r="U78" s="9">
        <v>0</v>
      </c>
      <c r="V78" s="6"/>
      <c r="W78" s="23">
        <v>0</v>
      </c>
      <c r="X78" s="6"/>
    </row>
    <row r="79" ht="27" customHeight="1" spans="1:24">
      <c r="A79" s="11" t="s">
        <v>465</v>
      </c>
      <c r="B79" s="8" t="s">
        <v>466</v>
      </c>
      <c r="C79" s="8" t="s">
        <v>467</v>
      </c>
      <c r="D79" s="9">
        <v>1</v>
      </c>
      <c r="E79" s="45" t="s">
        <v>444</v>
      </c>
      <c r="F79" s="23"/>
      <c r="G79" s="48"/>
      <c r="H79" s="23"/>
      <c r="I79" s="23"/>
      <c r="J79" s="23"/>
      <c r="M79" s="11" t="s">
        <v>468</v>
      </c>
      <c r="N79" s="9"/>
      <c r="O79" s="9"/>
      <c r="P79" s="11" t="s">
        <v>39</v>
      </c>
      <c r="Q79" s="9">
        <v>1</v>
      </c>
      <c r="R79" s="11" t="s">
        <v>316</v>
      </c>
      <c r="S79" s="9">
        <v>1</v>
      </c>
      <c r="T79" s="16"/>
      <c r="U79" s="9">
        <v>0</v>
      </c>
      <c r="V79" s="16"/>
      <c r="W79" s="9">
        <v>0</v>
      </c>
      <c r="X79" s="6"/>
    </row>
    <row r="80" ht="27.75" customHeight="1" spans="1:24">
      <c r="A80" s="11"/>
      <c r="B80" s="8" t="s">
        <v>469</v>
      </c>
      <c r="C80" s="8" t="s">
        <v>470</v>
      </c>
      <c r="D80" s="9">
        <v>1</v>
      </c>
      <c r="E80" s="17" t="s">
        <v>436</v>
      </c>
      <c r="F80" s="6"/>
      <c r="G80" s="17"/>
      <c r="H80" s="6"/>
      <c r="I80" s="6">
        <v>10</v>
      </c>
      <c r="J80" s="6"/>
      <c r="K80" s="6"/>
      <c r="L80" s="6"/>
      <c r="M80" s="11" t="s">
        <v>325</v>
      </c>
      <c r="N80" s="6"/>
      <c r="O80" s="6"/>
      <c r="P80" s="23"/>
      <c r="Q80" s="23">
        <v>0</v>
      </c>
      <c r="R80" s="64" t="s">
        <v>437</v>
      </c>
      <c r="S80" s="23">
        <v>2</v>
      </c>
      <c r="T80" s="6"/>
      <c r="U80" s="9">
        <v>0</v>
      </c>
      <c r="V80" s="6"/>
      <c r="W80" s="23">
        <v>0</v>
      </c>
      <c r="X80" s="6"/>
    </row>
    <row r="81" ht="27.75" customHeight="1" spans="1:24">
      <c r="A81" s="7" t="s">
        <v>177</v>
      </c>
      <c r="B81" s="9" t="s">
        <v>471</v>
      </c>
      <c r="C81" s="17" t="s">
        <v>386</v>
      </c>
      <c r="D81" s="9">
        <v>1</v>
      </c>
      <c r="E81" s="17" t="s">
        <v>325</v>
      </c>
      <c r="F81" s="6"/>
      <c r="G81" s="11"/>
      <c r="H81" s="6"/>
      <c r="I81" s="6"/>
      <c r="J81" s="6"/>
      <c r="K81" s="6"/>
      <c r="L81" s="6"/>
      <c r="M81" s="11" t="s">
        <v>325</v>
      </c>
      <c r="N81" s="6"/>
      <c r="O81" s="42" t="s">
        <v>472</v>
      </c>
      <c r="P81" s="6"/>
      <c r="Q81" s="9">
        <v>0</v>
      </c>
      <c r="R81" s="16"/>
      <c r="S81" s="9">
        <v>0</v>
      </c>
      <c r="T81" s="11" t="s">
        <v>388</v>
      </c>
      <c r="U81" s="9">
        <v>1</v>
      </c>
      <c r="V81" s="16"/>
      <c r="W81" s="9">
        <v>0</v>
      </c>
      <c r="X81" s="6"/>
    </row>
    <row r="82" ht="27.75" customHeight="1" spans="1:24">
      <c r="A82" s="12"/>
      <c r="B82" s="9" t="s">
        <v>471</v>
      </c>
      <c r="C82" s="17" t="s">
        <v>386</v>
      </c>
      <c r="D82" s="9">
        <v>1</v>
      </c>
      <c r="E82" s="17" t="s">
        <v>325</v>
      </c>
      <c r="F82" s="6"/>
      <c r="G82" s="11"/>
      <c r="H82" s="6"/>
      <c r="I82" s="6"/>
      <c r="J82" s="6"/>
      <c r="K82" s="6"/>
      <c r="L82" s="6"/>
      <c r="M82" s="11" t="s">
        <v>325</v>
      </c>
      <c r="N82" s="6"/>
      <c r="O82" s="42" t="s">
        <v>473</v>
      </c>
      <c r="P82" s="6"/>
      <c r="Q82" s="9">
        <v>0</v>
      </c>
      <c r="R82" s="16"/>
      <c r="S82" s="9">
        <v>0</v>
      </c>
      <c r="T82" s="11" t="s">
        <v>388</v>
      </c>
      <c r="U82" s="9">
        <v>1</v>
      </c>
      <c r="V82" s="16"/>
      <c r="W82" s="9">
        <v>0</v>
      </c>
      <c r="X82" s="6"/>
    </row>
    <row r="83" ht="27.75" customHeight="1" spans="1:24">
      <c r="A83" s="12"/>
      <c r="B83" s="9" t="s">
        <v>474</v>
      </c>
      <c r="C83" s="17" t="s">
        <v>475</v>
      </c>
      <c r="D83" s="9">
        <v>1</v>
      </c>
      <c r="E83" s="17" t="s">
        <v>430</v>
      </c>
      <c r="F83" s="6"/>
      <c r="G83" s="17"/>
      <c r="H83" s="6"/>
      <c r="I83" s="6"/>
      <c r="J83" s="23">
        <v>20</v>
      </c>
      <c r="K83" s="6"/>
      <c r="L83" s="6"/>
      <c r="M83" s="11" t="s">
        <v>325</v>
      </c>
      <c r="N83" s="6"/>
      <c r="O83" s="6"/>
      <c r="P83" s="6"/>
      <c r="Q83" s="23">
        <v>0</v>
      </c>
      <c r="R83" s="65" t="s">
        <v>392</v>
      </c>
      <c r="S83" s="23">
        <v>1</v>
      </c>
      <c r="T83" s="6"/>
      <c r="U83" s="9">
        <v>0</v>
      </c>
      <c r="V83" s="6"/>
      <c r="W83" s="23">
        <v>0</v>
      </c>
      <c r="X83" s="6"/>
    </row>
    <row r="84" ht="27.75" customHeight="1" spans="1:24">
      <c r="A84" s="12"/>
      <c r="B84" s="11" t="s">
        <v>476</v>
      </c>
      <c r="C84" s="17" t="s">
        <v>477</v>
      </c>
      <c r="D84" s="9">
        <v>2</v>
      </c>
      <c r="E84" s="17" t="s">
        <v>430</v>
      </c>
      <c r="F84" s="6"/>
      <c r="G84" s="17"/>
      <c r="H84" s="6"/>
      <c r="I84" s="6"/>
      <c r="J84" s="23">
        <v>20</v>
      </c>
      <c r="K84" s="6"/>
      <c r="L84" s="6"/>
      <c r="M84" s="11" t="s">
        <v>325</v>
      </c>
      <c r="N84" s="6"/>
      <c r="O84" s="6"/>
      <c r="P84" s="6"/>
      <c r="Q84" s="23">
        <v>0</v>
      </c>
      <c r="R84" s="65" t="s">
        <v>478</v>
      </c>
      <c r="S84" s="23">
        <v>1</v>
      </c>
      <c r="T84" s="6"/>
      <c r="U84" s="9">
        <v>0</v>
      </c>
      <c r="V84" s="6"/>
      <c r="W84" s="23">
        <v>0</v>
      </c>
      <c r="X84" s="6"/>
    </row>
    <row r="85" ht="27" customHeight="1" spans="1:24">
      <c r="A85" s="12"/>
      <c r="B85" s="17" t="s">
        <v>479</v>
      </c>
      <c r="C85" s="17" t="s">
        <v>480</v>
      </c>
      <c r="D85" s="9">
        <v>1</v>
      </c>
      <c r="E85" s="17" t="s">
        <v>430</v>
      </c>
      <c r="F85" s="23"/>
      <c r="G85" s="17"/>
      <c r="H85" s="5"/>
      <c r="I85" s="5"/>
      <c r="J85" s="23">
        <v>20</v>
      </c>
      <c r="K85" s="5"/>
      <c r="L85" s="5"/>
      <c r="M85" s="11" t="s">
        <v>481</v>
      </c>
      <c r="N85" s="6"/>
      <c r="O85" s="6"/>
      <c r="P85" s="11" t="s">
        <v>39</v>
      </c>
      <c r="Q85" s="9">
        <v>1</v>
      </c>
      <c r="R85" s="11" t="s">
        <v>316</v>
      </c>
      <c r="S85" s="9">
        <v>1</v>
      </c>
      <c r="T85" s="16"/>
      <c r="U85" s="9">
        <v>0</v>
      </c>
      <c r="V85" s="16"/>
      <c r="W85" s="9">
        <v>0</v>
      </c>
      <c r="X85" s="6"/>
    </row>
    <row r="86" ht="27" customHeight="1" spans="1:24">
      <c r="A86" s="12"/>
      <c r="B86" s="17" t="s">
        <v>479</v>
      </c>
      <c r="C86" s="17" t="s">
        <v>482</v>
      </c>
      <c r="D86" s="9">
        <v>1</v>
      </c>
      <c r="E86" s="17" t="s">
        <v>430</v>
      </c>
      <c r="F86" s="23"/>
      <c r="G86" s="17"/>
      <c r="H86" s="5"/>
      <c r="I86" s="5"/>
      <c r="J86" s="23">
        <v>20</v>
      </c>
      <c r="K86" s="5"/>
      <c r="L86" s="5"/>
      <c r="M86" s="11" t="s">
        <v>483</v>
      </c>
      <c r="N86" s="6"/>
      <c r="O86" s="6"/>
      <c r="P86" s="11" t="s">
        <v>39</v>
      </c>
      <c r="Q86" s="9">
        <v>1</v>
      </c>
      <c r="R86" s="11" t="s">
        <v>316</v>
      </c>
      <c r="S86" s="9">
        <v>1</v>
      </c>
      <c r="T86" s="16"/>
      <c r="U86" s="9">
        <v>0</v>
      </c>
      <c r="V86" s="16"/>
      <c r="W86" s="9">
        <v>0</v>
      </c>
      <c r="X86" s="6"/>
    </row>
    <row r="87" ht="45" customHeight="1" spans="1:24">
      <c r="A87" s="18"/>
      <c r="B87" s="8" t="s">
        <v>484</v>
      </c>
      <c r="C87" s="25" t="s">
        <v>429</v>
      </c>
      <c r="D87" s="9">
        <v>3</v>
      </c>
      <c r="E87" s="17" t="s">
        <v>430</v>
      </c>
      <c r="F87" s="23"/>
      <c r="G87" s="17"/>
      <c r="H87" s="23"/>
      <c r="I87" s="23">
        <v>20</v>
      </c>
      <c r="J87" s="23"/>
      <c r="K87" s="6"/>
      <c r="L87" s="6"/>
      <c r="M87" s="11" t="s">
        <v>325</v>
      </c>
      <c r="N87" s="6"/>
      <c r="O87" s="6"/>
      <c r="P87" s="6"/>
      <c r="Q87" s="23">
        <v>0</v>
      </c>
      <c r="R87" s="66" t="s">
        <v>485</v>
      </c>
      <c r="S87" s="23">
        <v>3</v>
      </c>
      <c r="T87" s="6"/>
      <c r="U87" s="9">
        <v>0</v>
      </c>
      <c r="V87" s="6"/>
      <c r="W87" s="23">
        <v>0</v>
      </c>
      <c r="X87" s="6"/>
    </row>
    <row r="88" ht="27" spans="1:24">
      <c r="A88" s="7" t="s">
        <v>486</v>
      </c>
      <c r="B88" s="9" t="s">
        <v>471</v>
      </c>
      <c r="C88" s="17" t="s">
        <v>487</v>
      </c>
      <c r="D88" s="9">
        <v>1</v>
      </c>
      <c r="E88" s="17" t="s">
        <v>325</v>
      </c>
      <c r="F88" s="6"/>
      <c r="G88" s="11"/>
      <c r="H88" s="6"/>
      <c r="I88" s="6"/>
      <c r="J88" s="6"/>
      <c r="K88" s="6"/>
      <c r="L88" s="6"/>
      <c r="M88" s="11" t="s">
        <v>325</v>
      </c>
      <c r="N88" s="6"/>
      <c r="O88" s="42" t="s">
        <v>488</v>
      </c>
      <c r="P88" s="6"/>
      <c r="Q88" s="9">
        <v>0</v>
      </c>
      <c r="R88" s="16"/>
      <c r="S88" s="9">
        <v>0</v>
      </c>
      <c r="T88" s="11" t="s">
        <v>388</v>
      </c>
      <c r="U88" s="9">
        <v>1</v>
      </c>
      <c r="V88" s="16"/>
      <c r="W88" s="9">
        <v>0</v>
      </c>
      <c r="X88" s="6"/>
    </row>
    <row r="89" ht="35" customHeight="1" spans="1:24">
      <c r="A89" s="12"/>
      <c r="B89" s="9" t="s">
        <v>474</v>
      </c>
      <c r="C89" s="17" t="s">
        <v>475</v>
      </c>
      <c r="D89" s="9">
        <v>1</v>
      </c>
      <c r="E89" s="17" t="s">
        <v>430</v>
      </c>
      <c r="F89" s="6"/>
      <c r="G89" s="17"/>
      <c r="H89" s="6"/>
      <c r="I89" s="6"/>
      <c r="J89" s="23">
        <v>16</v>
      </c>
      <c r="K89" s="6"/>
      <c r="L89" s="6"/>
      <c r="M89" s="11" t="s">
        <v>325</v>
      </c>
      <c r="N89" s="6"/>
      <c r="O89" s="6"/>
      <c r="P89" s="6"/>
      <c r="Q89" s="23">
        <v>0</v>
      </c>
      <c r="R89" s="65" t="s">
        <v>392</v>
      </c>
      <c r="S89" s="23">
        <v>1</v>
      </c>
      <c r="T89" s="6"/>
      <c r="U89" s="9">
        <v>0</v>
      </c>
      <c r="V89" s="6"/>
      <c r="W89" s="23">
        <v>0</v>
      </c>
      <c r="X89" s="6"/>
    </row>
    <row r="90" ht="27" spans="1:24">
      <c r="A90" s="12"/>
      <c r="B90" s="11" t="s">
        <v>476</v>
      </c>
      <c r="C90" s="17" t="s">
        <v>477</v>
      </c>
      <c r="D90" s="9">
        <v>2</v>
      </c>
      <c r="E90" s="17" t="s">
        <v>430</v>
      </c>
      <c r="F90" s="6"/>
      <c r="G90" s="17"/>
      <c r="H90" s="6"/>
      <c r="I90" s="6"/>
      <c r="J90" s="23">
        <v>16</v>
      </c>
      <c r="K90" s="6"/>
      <c r="L90" s="6"/>
      <c r="M90" s="11" t="s">
        <v>325</v>
      </c>
      <c r="N90" s="6"/>
      <c r="O90" s="6"/>
      <c r="P90" s="6"/>
      <c r="Q90" s="23">
        <v>0</v>
      </c>
      <c r="R90" s="65" t="s">
        <v>478</v>
      </c>
      <c r="S90" s="23">
        <v>1</v>
      </c>
      <c r="T90" s="6"/>
      <c r="U90" s="9">
        <v>0</v>
      </c>
      <c r="V90" s="6"/>
      <c r="W90" s="23">
        <v>0</v>
      </c>
      <c r="X90" s="6"/>
    </row>
    <row r="91" ht="27" customHeight="1" spans="1:24">
      <c r="A91" s="12"/>
      <c r="B91" s="17" t="s">
        <v>479</v>
      </c>
      <c r="C91" s="17" t="s">
        <v>489</v>
      </c>
      <c r="D91" s="9">
        <v>1</v>
      </c>
      <c r="E91" s="17" t="s">
        <v>430</v>
      </c>
      <c r="F91" s="23"/>
      <c r="G91" s="17"/>
      <c r="H91" s="5"/>
      <c r="I91" s="5"/>
      <c r="J91" s="23">
        <v>16</v>
      </c>
      <c r="K91" s="5"/>
      <c r="L91" s="5"/>
      <c r="M91" s="11" t="s">
        <v>490</v>
      </c>
      <c r="N91" s="6"/>
      <c r="O91" s="6"/>
      <c r="P91" s="11" t="s">
        <v>39</v>
      </c>
      <c r="Q91" s="9">
        <v>1</v>
      </c>
      <c r="R91" s="11" t="s">
        <v>316</v>
      </c>
      <c r="S91" s="9">
        <v>1</v>
      </c>
      <c r="T91" s="16"/>
      <c r="U91" s="9">
        <v>0</v>
      </c>
      <c r="V91" s="16"/>
      <c r="W91" s="9">
        <v>0</v>
      </c>
      <c r="X91" s="6"/>
    </row>
    <row r="92" ht="27" customHeight="1" spans="1:24">
      <c r="A92" s="12"/>
      <c r="B92" s="17" t="s">
        <v>479</v>
      </c>
      <c r="C92" s="17" t="s">
        <v>491</v>
      </c>
      <c r="D92" s="9">
        <v>1</v>
      </c>
      <c r="E92" s="17" t="s">
        <v>430</v>
      </c>
      <c r="F92" s="23"/>
      <c r="G92" s="17"/>
      <c r="H92" s="5"/>
      <c r="I92" s="5"/>
      <c r="J92" s="23">
        <v>16</v>
      </c>
      <c r="K92" s="5"/>
      <c r="L92" s="5"/>
      <c r="M92" s="11" t="s">
        <v>492</v>
      </c>
      <c r="N92" s="6"/>
      <c r="O92" s="6"/>
      <c r="P92" s="11" t="s">
        <v>39</v>
      </c>
      <c r="Q92" s="9">
        <v>1</v>
      </c>
      <c r="R92" s="11" t="s">
        <v>316</v>
      </c>
      <c r="S92" s="9">
        <v>1</v>
      </c>
      <c r="T92" s="16"/>
      <c r="U92" s="9">
        <v>0</v>
      </c>
      <c r="V92" s="16"/>
      <c r="W92" s="9">
        <v>0</v>
      </c>
      <c r="X92" s="6"/>
    </row>
    <row r="93" ht="40.5" spans="1:24">
      <c r="A93" s="18"/>
      <c r="B93" s="8" t="s">
        <v>484</v>
      </c>
      <c r="C93" s="8" t="s">
        <v>429</v>
      </c>
      <c r="D93" s="9">
        <v>3</v>
      </c>
      <c r="E93" s="17" t="s">
        <v>430</v>
      </c>
      <c r="F93" s="23"/>
      <c r="G93" s="17"/>
      <c r="H93" s="23"/>
      <c r="I93" s="23">
        <v>16</v>
      </c>
      <c r="J93" s="23"/>
      <c r="K93" s="6"/>
      <c r="L93" s="6"/>
      <c r="M93" s="11" t="s">
        <v>325</v>
      </c>
      <c r="N93" s="6"/>
      <c r="O93" s="6"/>
      <c r="P93" s="6"/>
      <c r="Q93" s="23">
        <v>0</v>
      </c>
      <c r="R93" s="66" t="s">
        <v>485</v>
      </c>
      <c r="S93" s="23">
        <v>3</v>
      </c>
      <c r="T93" s="6"/>
      <c r="U93" s="9">
        <v>0</v>
      </c>
      <c r="V93" s="6"/>
      <c r="W93" s="23">
        <v>0</v>
      </c>
      <c r="X93" s="6"/>
    </row>
    <row r="94" ht="31" customHeight="1" spans="1:24">
      <c r="A94" s="49" t="s">
        <v>493</v>
      </c>
      <c r="B94" s="17" t="s">
        <v>494</v>
      </c>
      <c r="C94" s="17" t="s">
        <v>495</v>
      </c>
      <c r="D94" s="9">
        <v>1</v>
      </c>
      <c r="E94" s="50" t="s">
        <v>418</v>
      </c>
      <c r="F94" s="6"/>
      <c r="G94" s="6"/>
      <c r="H94" s="6"/>
      <c r="I94" s="6"/>
      <c r="J94" s="55">
        <v>22</v>
      </c>
      <c r="K94" s="6"/>
      <c r="L94" s="6"/>
      <c r="M94" s="11">
        <v>1</v>
      </c>
      <c r="N94" s="6"/>
      <c r="O94" s="6"/>
      <c r="P94" s="6"/>
      <c r="Q94" s="23">
        <v>1</v>
      </c>
      <c r="R94" s="66"/>
      <c r="S94" s="23">
        <v>0</v>
      </c>
      <c r="T94" s="6"/>
      <c r="U94" s="9">
        <v>0</v>
      </c>
      <c r="V94" s="6"/>
      <c r="W94" s="23">
        <v>0</v>
      </c>
      <c r="X94" s="6"/>
    </row>
    <row r="95" ht="28" customHeight="1" spans="1:24">
      <c r="A95" s="51"/>
      <c r="B95" s="20" t="s">
        <v>496</v>
      </c>
      <c r="C95" s="17" t="s">
        <v>497</v>
      </c>
      <c r="D95" s="9">
        <v>1</v>
      </c>
      <c r="E95" s="17" t="s">
        <v>325</v>
      </c>
      <c r="F95" s="6"/>
      <c r="G95" s="17"/>
      <c r="H95" s="52">
        <v>22</v>
      </c>
      <c r="I95" s="5"/>
      <c r="J95" s="6"/>
      <c r="K95" s="6"/>
      <c r="L95" s="6"/>
      <c r="M95" s="11" t="s">
        <v>325</v>
      </c>
      <c r="N95" s="6"/>
      <c r="O95" s="6"/>
      <c r="P95" s="6"/>
      <c r="Q95" s="23">
        <v>0</v>
      </c>
      <c r="R95" s="66"/>
      <c r="S95" s="23">
        <v>1</v>
      </c>
      <c r="T95" s="6"/>
      <c r="U95" s="9">
        <v>0</v>
      </c>
      <c r="V95" s="6"/>
      <c r="W95" s="23">
        <v>0</v>
      </c>
      <c r="X95" s="6"/>
    </row>
    <row r="96" ht="29" customHeight="1" spans="1:24">
      <c r="A96" s="53"/>
      <c r="B96" s="22"/>
      <c r="C96" s="17" t="s">
        <v>498</v>
      </c>
      <c r="D96" s="9">
        <v>1</v>
      </c>
      <c r="E96" s="17" t="s">
        <v>325</v>
      </c>
      <c r="F96" s="23"/>
      <c r="G96" s="17"/>
      <c r="H96" s="54"/>
      <c r="I96" s="5"/>
      <c r="J96" s="23"/>
      <c r="K96" s="6"/>
      <c r="L96" s="6"/>
      <c r="M96" s="11" t="s">
        <v>325</v>
      </c>
      <c r="N96" s="6"/>
      <c r="O96" s="6"/>
      <c r="P96" s="6"/>
      <c r="Q96" s="23">
        <v>0</v>
      </c>
      <c r="R96" s="66"/>
      <c r="S96" s="23">
        <v>1</v>
      </c>
      <c r="T96" s="6"/>
      <c r="U96" s="9">
        <v>0</v>
      </c>
      <c r="V96" s="6"/>
      <c r="W96" s="23">
        <v>0</v>
      </c>
      <c r="X96" s="6"/>
    </row>
    <row r="97" ht="40.5" spans="1:24">
      <c r="A97" s="7" t="s">
        <v>499</v>
      </c>
      <c r="B97" s="22" t="s">
        <v>500</v>
      </c>
      <c r="C97" s="17" t="s">
        <v>429</v>
      </c>
      <c r="D97" s="9">
        <v>1</v>
      </c>
      <c r="E97" s="17" t="s">
        <v>325</v>
      </c>
      <c r="F97" s="23"/>
      <c r="G97" s="17"/>
      <c r="H97" s="5"/>
      <c r="I97" s="62">
        <v>23</v>
      </c>
      <c r="J97" s="23"/>
      <c r="K97" s="5"/>
      <c r="L97" s="5"/>
      <c r="M97" s="11" t="s">
        <v>325</v>
      </c>
      <c r="N97" s="6"/>
      <c r="O97" s="6"/>
      <c r="P97" s="6"/>
      <c r="Q97" s="23">
        <v>0</v>
      </c>
      <c r="R97" s="66"/>
      <c r="S97" s="23">
        <v>1</v>
      </c>
      <c r="T97" s="6"/>
      <c r="U97" s="9">
        <v>0</v>
      </c>
      <c r="V97" s="6"/>
      <c r="W97" s="23">
        <v>0</v>
      </c>
      <c r="X97" s="6"/>
    </row>
    <row r="98" ht="40.5" spans="1:24">
      <c r="A98" s="18"/>
      <c r="B98" s="22" t="s">
        <v>501</v>
      </c>
      <c r="C98" s="17" t="s">
        <v>429</v>
      </c>
      <c r="D98" s="9">
        <v>1</v>
      </c>
      <c r="E98" s="17" t="s">
        <v>325</v>
      </c>
      <c r="F98" s="6"/>
      <c r="G98" s="17"/>
      <c r="H98" s="6"/>
      <c r="I98" s="55">
        <v>22</v>
      </c>
      <c r="J98" s="6"/>
      <c r="K98" s="6"/>
      <c r="L98" s="6"/>
      <c r="M98" s="11" t="s">
        <v>325</v>
      </c>
      <c r="N98" s="6"/>
      <c r="O98" s="6"/>
      <c r="P98" s="6"/>
      <c r="Q98" s="23">
        <v>0</v>
      </c>
      <c r="R98" s="66"/>
      <c r="S98" s="23">
        <v>1</v>
      </c>
      <c r="T98" s="6"/>
      <c r="U98" s="9">
        <v>0</v>
      </c>
      <c r="V98" s="6"/>
      <c r="W98" s="23">
        <v>0</v>
      </c>
      <c r="X98" s="6"/>
    </row>
    <row r="99" ht="33" customHeight="1" spans="1:24">
      <c r="A99" s="18" t="s">
        <v>213</v>
      </c>
      <c r="B99" s="11" t="s">
        <v>502</v>
      </c>
      <c r="C99" s="42" t="s">
        <v>503</v>
      </c>
      <c r="D99" s="9">
        <v>1</v>
      </c>
      <c r="E99" s="17" t="s">
        <v>325</v>
      </c>
      <c r="F99" s="6"/>
      <c r="G99" s="11"/>
      <c r="H99" s="6"/>
      <c r="I99" s="6"/>
      <c r="J99" s="6"/>
      <c r="L99" s="6">
        <v>53</v>
      </c>
      <c r="M99" s="11" t="s">
        <v>325</v>
      </c>
      <c r="N99" s="6"/>
      <c r="O99" s="6"/>
      <c r="P99" s="6"/>
      <c r="Q99" s="23">
        <v>0</v>
      </c>
      <c r="R99" s="65"/>
      <c r="S99" s="23">
        <v>0</v>
      </c>
      <c r="T99" s="67" t="s">
        <v>503</v>
      </c>
      <c r="U99" s="9">
        <v>1</v>
      </c>
      <c r="V99" s="6"/>
      <c r="W99" s="23">
        <v>0</v>
      </c>
      <c r="X99" s="6"/>
    </row>
    <row r="100" ht="27" spans="1:24">
      <c r="A100" s="7" t="s">
        <v>247</v>
      </c>
      <c r="B100" s="9" t="s">
        <v>504</v>
      </c>
      <c r="C100" s="42" t="s">
        <v>505</v>
      </c>
      <c r="D100" s="9">
        <v>1</v>
      </c>
      <c r="E100" s="17" t="s">
        <v>436</v>
      </c>
      <c r="F100" s="6"/>
      <c r="G100" s="6"/>
      <c r="H100" s="6"/>
      <c r="I100" s="6"/>
      <c r="J100" s="6">
        <v>31</v>
      </c>
      <c r="K100" s="6"/>
      <c r="L100" s="6"/>
      <c r="M100" s="11" t="s">
        <v>506</v>
      </c>
      <c r="N100" s="6"/>
      <c r="O100" s="6"/>
      <c r="P100" s="11" t="s">
        <v>39</v>
      </c>
      <c r="Q100" s="9">
        <v>1</v>
      </c>
      <c r="R100" s="11" t="s">
        <v>316</v>
      </c>
      <c r="S100" s="9">
        <v>1</v>
      </c>
      <c r="T100" s="16"/>
      <c r="U100" s="9">
        <v>0</v>
      </c>
      <c r="V100" s="16"/>
      <c r="W100" s="9">
        <v>0</v>
      </c>
      <c r="X100" s="6"/>
    </row>
    <row r="101" ht="27" spans="1:24">
      <c r="A101" s="12"/>
      <c r="B101" s="11" t="s">
        <v>507</v>
      </c>
      <c r="C101" s="42" t="s">
        <v>508</v>
      </c>
      <c r="D101" s="9">
        <v>1</v>
      </c>
      <c r="E101" s="17" t="s">
        <v>436</v>
      </c>
      <c r="F101" s="6"/>
      <c r="G101" s="17"/>
      <c r="H101" s="6"/>
      <c r="I101" s="6">
        <v>31</v>
      </c>
      <c r="J101" s="6"/>
      <c r="K101" s="6"/>
      <c r="L101" s="6"/>
      <c r="M101" s="11" t="s">
        <v>325</v>
      </c>
      <c r="N101" s="6"/>
      <c r="O101" s="6"/>
      <c r="P101" s="6"/>
      <c r="Q101" s="23">
        <v>0</v>
      </c>
      <c r="R101" s="65" t="s">
        <v>509</v>
      </c>
      <c r="S101" s="23">
        <v>1</v>
      </c>
      <c r="T101" s="6"/>
      <c r="U101" s="9">
        <v>0</v>
      </c>
      <c r="V101" s="6"/>
      <c r="W101" s="23">
        <v>0</v>
      </c>
      <c r="X101" s="6"/>
    </row>
    <row r="102" ht="27" spans="1:24">
      <c r="A102" s="18"/>
      <c r="B102" s="11" t="s">
        <v>510</v>
      </c>
      <c r="C102" s="42" t="s">
        <v>508</v>
      </c>
      <c r="D102" s="9">
        <v>1</v>
      </c>
      <c r="E102" s="17" t="s">
        <v>436</v>
      </c>
      <c r="F102" s="23"/>
      <c r="G102" s="17"/>
      <c r="H102" s="23"/>
      <c r="I102" s="6">
        <v>51</v>
      </c>
      <c r="J102" s="23"/>
      <c r="K102" s="23"/>
      <c r="L102" s="23"/>
      <c r="M102" s="11" t="s">
        <v>325</v>
      </c>
      <c r="N102" s="6"/>
      <c r="O102" s="6"/>
      <c r="P102" s="6"/>
      <c r="Q102" s="23">
        <v>0</v>
      </c>
      <c r="R102" s="65" t="s">
        <v>511</v>
      </c>
      <c r="S102" s="23">
        <v>1</v>
      </c>
      <c r="T102" s="6"/>
      <c r="U102" s="9">
        <v>0</v>
      </c>
      <c r="V102" s="6"/>
      <c r="W102" s="23">
        <v>0</v>
      </c>
      <c r="X102" s="6"/>
    </row>
    <row r="103" ht="27" spans="1:24">
      <c r="A103" s="18" t="s">
        <v>512</v>
      </c>
      <c r="B103" s="11" t="s">
        <v>513</v>
      </c>
      <c r="C103" s="17" t="s">
        <v>386</v>
      </c>
      <c r="D103" s="9">
        <v>1</v>
      </c>
      <c r="E103" s="17" t="s">
        <v>325</v>
      </c>
      <c r="F103" s="23"/>
      <c r="G103" s="11"/>
      <c r="H103" s="23"/>
      <c r="I103" s="23"/>
      <c r="J103" s="23"/>
      <c r="K103" s="23"/>
      <c r="L103" s="23"/>
      <c r="M103" s="11" t="s">
        <v>325</v>
      </c>
      <c r="N103" s="6"/>
      <c r="O103" s="42" t="s">
        <v>514</v>
      </c>
      <c r="P103" s="6"/>
      <c r="Q103" s="9">
        <v>0</v>
      </c>
      <c r="R103" s="16"/>
      <c r="S103" s="9">
        <v>0</v>
      </c>
      <c r="T103" s="11" t="s">
        <v>388</v>
      </c>
      <c r="U103" s="9">
        <v>1</v>
      </c>
      <c r="V103" s="16"/>
      <c r="W103" s="9">
        <v>0</v>
      </c>
      <c r="X103" s="6"/>
    </row>
    <row r="104" ht="27" spans="1:24">
      <c r="A104" s="7" t="s">
        <v>249</v>
      </c>
      <c r="B104" s="9" t="s">
        <v>504</v>
      </c>
      <c r="C104" s="42" t="s">
        <v>505</v>
      </c>
      <c r="D104" s="9">
        <v>1</v>
      </c>
      <c r="E104" s="17" t="s">
        <v>436</v>
      </c>
      <c r="F104" s="6"/>
      <c r="G104" s="6"/>
      <c r="H104" s="6"/>
      <c r="I104" s="6"/>
      <c r="J104" s="6">
        <v>31</v>
      </c>
      <c r="K104" s="6"/>
      <c r="L104" s="6"/>
      <c r="M104" s="11" t="s">
        <v>515</v>
      </c>
      <c r="N104" s="6"/>
      <c r="O104" s="6"/>
      <c r="P104" s="11" t="s">
        <v>39</v>
      </c>
      <c r="Q104" s="9">
        <v>1</v>
      </c>
      <c r="R104" s="11" t="s">
        <v>316</v>
      </c>
      <c r="S104" s="9">
        <v>1</v>
      </c>
      <c r="T104" s="16"/>
      <c r="U104" s="9">
        <v>0</v>
      </c>
      <c r="V104" s="16"/>
      <c r="W104" s="9">
        <v>0</v>
      </c>
      <c r="X104" s="6"/>
    </row>
    <row r="105" ht="35" customHeight="1" spans="1:24">
      <c r="A105" s="12"/>
      <c r="B105" s="11" t="s">
        <v>507</v>
      </c>
      <c r="C105" s="42" t="s">
        <v>508</v>
      </c>
      <c r="D105" s="9">
        <v>1</v>
      </c>
      <c r="E105" s="17" t="s">
        <v>436</v>
      </c>
      <c r="F105" s="6"/>
      <c r="G105" s="17"/>
      <c r="H105" s="6"/>
      <c r="I105" s="6">
        <v>31</v>
      </c>
      <c r="J105" s="6"/>
      <c r="K105" s="6"/>
      <c r="L105" s="6"/>
      <c r="M105" s="11" t="s">
        <v>325</v>
      </c>
      <c r="N105" s="6"/>
      <c r="O105" s="6"/>
      <c r="P105" s="6"/>
      <c r="Q105" s="23">
        <v>0</v>
      </c>
      <c r="R105" s="65" t="s">
        <v>509</v>
      </c>
      <c r="S105" s="23">
        <v>1</v>
      </c>
      <c r="T105" s="6"/>
      <c r="U105" s="9">
        <v>0</v>
      </c>
      <c r="V105" s="6"/>
      <c r="W105" s="23">
        <v>0</v>
      </c>
      <c r="X105" s="6"/>
    </row>
    <row r="106" ht="27" customHeight="1" spans="1:24">
      <c r="A106" s="18"/>
      <c r="B106" s="11" t="s">
        <v>510</v>
      </c>
      <c r="C106" s="42" t="s">
        <v>508</v>
      </c>
      <c r="D106" s="9">
        <v>1</v>
      </c>
      <c r="E106" s="17" t="s">
        <v>436</v>
      </c>
      <c r="F106" s="6"/>
      <c r="G106" s="17"/>
      <c r="H106" s="6"/>
      <c r="I106" s="6">
        <v>51</v>
      </c>
      <c r="J106" s="6"/>
      <c r="K106" s="6"/>
      <c r="L106" s="6"/>
      <c r="M106" s="11" t="s">
        <v>325</v>
      </c>
      <c r="N106" s="6"/>
      <c r="O106" s="6"/>
      <c r="P106" s="6"/>
      <c r="Q106" s="23">
        <v>0</v>
      </c>
      <c r="R106" s="65" t="s">
        <v>511</v>
      </c>
      <c r="S106" s="23">
        <v>1</v>
      </c>
      <c r="T106" s="6"/>
      <c r="U106" s="9">
        <v>0</v>
      </c>
      <c r="V106" s="6"/>
      <c r="W106" s="23">
        <v>0</v>
      </c>
      <c r="X106" s="6"/>
    </row>
    <row r="107" ht="33" customHeight="1" spans="1:24">
      <c r="A107" s="18" t="s">
        <v>516</v>
      </c>
      <c r="B107" s="11" t="s">
        <v>513</v>
      </c>
      <c r="C107" s="17" t="s">
        <v>386</v>
      </c>
      <c r="D107" s="9">
        <v>1</v>
      </c>
      <c r="E107" s="17" t="s">
        <v>325</v>
      </c>
      <c r="F107" s="6"/>
      <c r="G107" s="11"/>
      <c r="H107" s="6"/>
      <c r="I107" s="6"/>
      <c r="J107" s="6"/>
      <c r="K107" s="6"/>
      <c r="L107" s="6"/>
      <c r="M107" s="11" t="s">
        <v>325</v>
      </c>
      <c r="N107" s="6"/>
      <c r="O107" s="42" t="s">
        <v>517</v>
      </c>
      <c r="P107" s="6"/>
      <c r="Q107" s="9">
        <v>0</v>
      </c>
      <c r="R107" s="16"/>
      <c r="S107" s="9">
        <v>0</v>
      </c>
      <c r="T107" s="11" t="s">
        <v>388</v>
      </c>
      <c r="U107" s="9">
        <v>1</v>
      </c>
      <c r="V107" s="16"/>
      <c r="W107" s="9">
        <v>0</v>
      </c>
      <c r="X107" s="6"/>
    </row>
    <row r="108" ht="31.5" customHeight="1" spans="1:24">
      <c r="A108" s="7" t="s">
        <v>250</v>
      </c>
      <c r="B108" s="9" t="s">
        <v>504</v>
      </c>
      <c r="C108" s="42" t="s">
        <v>505</v>
      </c>
      <c r="D108" s="9">
        <v>1</v>
      </c>
      <c r="E108" s="17" t="s">
        <v>436</v>
      </c>
      <c r="F108" s="6"/>
      <c r="G108" s="6"/>
      <c r="H108" s="6"/>
      <c r="I108" s="6"/>
      <c r="J108" s="6">
        <v>31</v>
      </c>
      <c r="K108" s="6"/>
      <c r="L108" s="6"/>
      <c r="M108" s="11" t="s">
        <v>518</v>
      </c>
      <c r="N108" s="6"/>
      <c r="O108" s="6"/>
      <c r="P108" s="11" t="s">
        <v>39</v>
      </c>
      <c r="Q108" s="9">
        <v>1</v>
      </c>
      <c r="R108" s="11" t="s">
        <v>316</v>
      </c>
      <c r="S108" s="9">
        <v>1</v>
      </c>
      <c r="T108" s="16"/>
      <c r="U108" s="9">
        <v>0</v>
      </c>
      <c r="V108" s="16"/>
      <c r="W108" s="9">
        <v>0</v>
      </c>
      <c r="X108" s="6"/>
    </row>
    <row r="109" ht="32" customHeight="1" spans="1:24">
      <c r="A109" s="12"/>
      <c r="B109" s="11" t="s">
        <v>507</v>
      </c>
      <c r="C109" s="42" t="s">
        <v>508</v>
      </c>
      <c r="D109" s="9">
        <v>1</v>
      </c>
      <c r="E109" s="17" t="s">
        <v>436</v>
      </c>
      <c r="F109" s="6"/>
      <c r="G109" s="17"/>
      <c r="H109" s="6"/>
      <c r="I109" s="6">
        <v>31</v>
      </c>
      <c r="J109" s="6"/>
      <c r="K109" s="6"/>
      <c r="L109" s="6"/>
      <c r="M109" s="11" t="s">
        <v>325</v>
      </c>
      <c r="N109" s="6"/>
      <c r="O109" s="6"/>
      <c r="P109" s="6"/>
      <c r="Q109" s="23">
        <v>0</v>
      </c>
      <c r="R109" s="65" t="s">
        <v>509</v>
      </c>
      <c r="S109" s="23">
        <v>1</v>
      </c>
      <c r="T109" s="6"/>
      <c r="U109" s="9">
        <v>0</v>
      </c>
      <c r="V109" s="6"/>
      <c r="W109" s="23">
        <v>0</v>
      </c>
      <c r="X109" s="6"/>
    </row>
    <row r="110" ht="29" customHeight="1" spans="1:24">
      <c r="A110" s="18"/>
      <c r="B110" s="11" t="s">
        <v>510</v>
      </c>
      <c r="C110" s="42" t="s">
        <v>508</v>
      </c>
      <c r="D110" s="9">
        <v>1</v>
      </c>
      <c r="E110" s="17" t="s">
        <v>436</v>
      </c>
      <c r="F110" s="6"/>
      <c r="G110" s="17"/>
      <c r="H110" s="6"/>
      <c r="I110" s="6">
        <v>51</v>
      </c>
      <c r="J110" s="6"/>
      <c r="K110" s="6"/>
      <c r="L110" s="6"/>
      <c r="M110" s="11" t="s">
        <v>325</v>
      </c>
      <c r="N110" s="6"/>
      <c r="O110" s="6"/>
      <c r="P110" s="6"/>
      <c r="Q110" s="23">
        <v>0</v>
      </c>
      <c r="R110" s="65" t="s">
        <v>511</v>
      </c>
      <c r="S110" s="23">
        <v>1</v>
      </c>
      <c r="T110" s="6"/>
      <c r="U110" s="9">
        <v>0</v>
      </c>
      <c r="V110" s="6"/>
      <c r="W110" s="23">
        <v>0</v>
      </c>
      <c r="X110" s="6"/>
    </row>
    <row r="111" ht="33" customHeight="1" spans="1:24">
      <c r="A111" s="18" t="s">
        <v>519</v>
      </c>
      <c r="B111" s="11" t="s">
        <v>513</v>
      </c>
      <c r="C111" s="17" t="s">
        <v>386</v>
      </c>
      <c r="D111" s="9">
        <v>1</v>
      </c>
      <c r="E111" s="17" t="s">
        <v>325</v>
      </c>
      <c r="F111" s="6"/>
      <c r="G111" s="11"/>
      <c r="H111" s="6"/>
      <c r="I111" s="6"/>
      <c r="J111" s="6"/>
      <c r="K111" s="6"/>
      <c r="L111" s="6"/>
      <c r="M111" s="11" t="s">
        <v>325</v>
      </c>
      <c r="N111" s="6"/>
      <c r="O111" s="42" t="s">
        <v>520</v>
      </c>
      <c r="P111" s="6"/>
      <c r="Q111" s="9">
        <v>0</v>
      </c>
      <c r="R111" s="16"/>
      <c r="S111" s="9">
        <v>0</v>
      </c>
      <c r="T111" s="11" t="s">
        <v>388</v>
      </c>
      <c r="U111" s="9">
        <v>1</v>
      </c>
      <c r="V111" s="16"/>
      <c r="W111" s="9">
        <v>0</v>
      </c>
      <c r="X111" s="6"/>
    </row>
    <row r="112" ht="27" spans="1:24">
      <c r="A112" s="18" t="s">
        <v>426</v>
      </c>
      <c r="B112" s="34" t="s">
        <v>521</v>
      </c>
      <c r="C112" s="42"/>
      <c r="D112" s="9"/>
      <c r="E112" s="11" t="s">
        <v>325</v>
      </c>
      <c r="F112" s="55"/>
      <c r="G112" s="56">
        <v>34</v>
      </c>
      <c r="H112" s="55"/>
      <c r="I112" s="6"/>
      <c r="J112" s="6"/>
      <c r="K112" s="6"/>
      <c r="L112" s="6"/>
      <c r="M112" s="11"/>
      <c r="N112" s="6"/>
      <c r="O112" s="6"/>
      <c r="P112" s="6"/>
      <c r="Q112" s="23"/>
      <c r="R112" s="65"/>
      <c r="S112" s="23"/>
      <c r="T112" s="6"/>
      <c r="U112" s="9"/>
      <c r="V112" s="6"/>
      <c r="W112" s="23"/>
      <c r="X112" s="6"/>
    </row>
    <row r="113" ht="27" spans="1:24">
      <c r="A113" s="18" t="s">
        <v>444</v>
      </c>
      <c r="B113" s="34" t="s">
        <v>522</v>
      </c>
      <c r="C113" s="42"/>
      <c r="D113" s="9"/>
      <c r="E113" s="11" t="s">
        <v>325</v>
      </c>
      <c r="F113" s="55"/>
      <c r="G113" s="56">
        <v>38</v>
      </c>
      <c r="H113" s="55"/>
      <c r="I113" s="6"/>
      <c r="J113" s="6"/>
      <c r="K113" s="6"/>
      <c r="L113" s="6"/>
      <c r="M113" s="11"/>
      <c r="N113" s="6"/>
      <c r="O113" s="6"/>
      <c r="P113" s="6"/>
      <c r="Q113" s="23"/>
      <c r="R113" s="65"/>
      <c r="S113" s="23"/>
      <c r="T113" s="6"/>
      <c r="U113" s="9"/>
      <c r="V113" s="6"/>
      <c r="W113" s="23"/>
      <c r="X113" s="6"/>
    </row>
    <row r="114" ht="27" spans="1:24">
      <c r="A114" s="18" t="s">
        <v>314</v>
      </c>
      <c r="B114" s="34" t="s">
        <v>521</v>
      </c>
      <c r="C114" s="42"/>
      <c r="D114" s="9"/>
      <c r="E114" s="11" t="s">
        <v>325</v>
      </c>
      <c r="F114" s="55"/>
      <c r="G114" s="56">
        <v>170</v>
      </c>
      <c r="H114" s="55"/>
      <c r="I114" s="6"/>
      <c r="J114" s="6"/>
      <c r="K114" s="6"/>
      <c r="L114" s="6"/>
      <c r="M114" s="11"/>
      <c r="N114" s="6"/>
      <c r="O114" s="6"/>
      <c r="P114" s="6"/>
      <c r="Q114" s="23"/>
      <c r="R114" s="65"/>
      <c r="S114" s="23"/>
      <c r="T114" s="6"/>
      <c r="U114" s="9"/>
      <c r="V114" s="6"/>
      <c r="W114" s="23"/>
      <c r="X114" s="6"/>
    </row>
    <row r="115" ht="27" spans="1:24">
      <c r="A115" s="18" t="s">
        <v>330</v>
      </c>
      <c r="B115" s="34" t="s">
        <v>521</v>
      </c>
      <c r="C115" s="42"/>
      <c r="D115" s="9"/>
      <c r="E115" s="11" t="s">
        <v>325</v>
      </c>
      <c r="F115" s="55"/>
      <c r="G115" s="56">
        <v>163</v>
      </c>
      <c r="H115" s="55"/>
      <c r="I115" s="6"/>
      <c r="J115" s="6"/>
      <c r="K115" s="6"/>
      <c r="L115" s="6"/>
      <c r="M115" s="11"/>
      <c r="N115" s="6"/>
      <c r="O115" s="6"/>
      <c r="P115" s="6"/>
      <c r="Q115" s="23"/>
      <c r="R115" s="65"/>
      <c r="S115" s="23"/>
      <c r="T115" s="6"/>
      <c r="U115" s="9"/>
      <c r="V115" s="6"/>
      <c r="W115" s="23"/>
      <c r="X115" s="6"/>
    </row>
    <row r="116" ht="27" spans="1:24">
      <c r="A116" s="18" t="s">
        <v>341</v>
      </c>
      <c r="B116" s="34" t="s">
        <v>521</v>
      </c>
      <c r="C116" s="42"/>
      <c r="D116" s="9"/>
      <c r="E116" s="11" t="s">
        <v>325</v>
      </c>
      <c r="F116" s="55"/>
      <c r="G116" s="56">
        <v>146</v>
      </c>
      <c r="H116" s="55"/>
      <c r="I116" s="6"/>
      <c r="J116" s="6"/>
      <c r="K116" s="6"/>
      <c r="L116" s="6"/>
      <c r="M116" s="11"/>
      <c r="N116" s="6"/>
      <c r="O116" s="6"/>
      <c r="P116" s="6"/>
      <c r="Q116" s="23"/>
      <c r="R116" s="65"/>
      <c r="S116" s="23"/>
      <c r="T116" s="6"/>
      <c r="U116" s="9"/>
      <c r="V116" s="6"/>
      <c r="W116" s="23"/>
      <c r="X116" s="6"/>
    </row>
    <row r="117" ht="27" spans="1:24">
      <c r="A117" s="18" t="s">
        <v>353</v>
      </c>
      <c r="B117" s="34" t="s">
        <v>521</v>
      </c>
      <c r="C117" s="42"/>
      <c r="D117" s="9"/>
      <c r="E117" s="11" t="s">
        <v>325</v>
      </c>
      <c r="F117" s="55"/>
      <c r="G117" s="56">
        <v>129</v>
      </c>
      <c r="H117" s="55"/>
      <c r="I117" s="6"/>
      <c r="J117" s="6"/>
      <c r="K117" s="6"/>
      <c r="L117" s="6"/>
      <c r="M117" s="11"/>
      <c r="N117" s="6"/>
      <c r="O117" s="6"/>
      <c r="P117" s="6"/>
      <c r="Q117" s="23"/>
      <c r="R117" s="65"/>
      <c r="S117" s="23"/>
      <c r="T117" s="6"/>
      <c r="U117" s="9"/>
      <c r="V117" s="6"/>
      <c r="W117" s="23"/>
      <c r="X117" s="6"/>
    </row>
    <row r="118" ht="27" spans="1:24">
      <c r="A118" s="18" t="s">
        <v>375</v>
      </c>
      <c r="B118" s="34" t="s">
        <v>523</v>
      </c>
      <c r="C118" s="42"/>
      <c r="D118" s="9"/>
      <c r="E118" s="11" t="s">
        <v>325</v>
      </c>
      <c r="F118" s="55"/>
      <c r="G118" s="57"/>
      <c r="H118" s="56">
        <v>208</v>
      </c>
      <c r="I118" s="6"/>
      <c r="J118" s="6"/>
      <c r="K118" s="6"/>
      <c r="L118" s="6"/>
      <c r="M118" s="11"/>
      <c r="N118" s="6"/>
      <c r="O118" s="6"/>
      <c r="P118" s="6"/>
      <c r="Q118" s="23"/>
      <c r="R118" s="65"/>
      <c r="S118" s="23"/>
      <c r="T118" s="6"/>
      <c r="U118" s="9"/>
      <c r="V118" s="6"/>
      <c r="W118" s="23"/>
      <c r="X118" s="6"/>
    </row>
    <row r="119" ht="27" spans="1:24">
      <c r="A119" s="11" t="s">
        <v>430</v>
      </c>
      <c r="B119" s="34"/>
      <c r="C119" s="42"/>
      <c r="D119" s="9"/>
      <c r="E119" s="11"/>
      <c r="F119" s="55">
        <v>34</v>
      </c>
      <c r="G119" s="56"/>
      <c r="H119" s="55"/>
      <c r="I119" s="6"/>
      <c r="J119" s="6"/>
      <c r="K119" s="6"/>
      <c r="L119" s="6"/>
      <c r="M119" s="11"/>
      <c r="N119" s="6"/>
      <c r="O119" s="6"/>
      <c r="P119" s="6"/>
      <c r="Q119" s="23"/>
      <c r="R119" s="65"/>
      <c r="S119" s="23"/>
      <c r="T119" s="6"/>
      <c r="U119" s="9"/>
      <c r="V119" s="6"/>
      <c r="W119" s="23"/>
      <c r="X119" s="6"/>
    </row>
    <row r="120" ht="27" spans="1:24">
      <c r="A120" s="11" t="s">
        <v>436</v>
      </c>
      <c r="B120" s="34"/>
      <c r="C120" s="42"/>
      <c r="D120" s="9"/>
      <c r="E120" s="11"/>
      <c r="F120" s="55">
        <v>38</v>
      </c>
      <c r="G120" s="56"/>
      <c r="H120" s="55"/>
      <c r="I120" s="6"/>
      <c r="J120" s="6"/>
      <c r="K120" s="6"/>
      <c r="L120" s="6"/>
      <c r="M120" s="11"/>
      <c r="N120" s="6"/>
      <c r="O120" s="6"/>
      <c r="P120" s="6"/>
      <c r="Q120" s="23"/>
      <c r="R120" s="65"/>
      <c r="S120" s="23"/>
      <c r="T120" s="6"/>
      <c r="U120" s="9"/>
      <c r="V120" s="6"/>
      <c r="W120" s="23"/>
      <c r="X120" s="6"/>
    </row>
    <row r="121" ht="18.75" spans="1:24">
      <c r="A121" s="58" t="s">
        <v>295</v>
      </c>
      <c r="B121" s="59"/>
      <c r="C121" s="59"/>
      <c r="D121" s="59"/>
      <c r="E121" s="59"/>
      <c r="F121" s="60">
        <f t="shared" ref="F121:L121" si="0">SUM(F4:F120)</f>
        <v>72</v>
      </c>
      <c r="G121" s="60">
        <f t="shared" si="0"/>
        <v>680</v>
      </c>
      <c r="H121" s="60">
        <f t="shared" si="0"/>
        <v>330</v>
      </c>
      <c r="I121" s="60">
        <f t="shared" si="0"/>
        <v>435</v>
      </c>
      <c r="J121" s="60">
        <f t="shared" si="0"/>
        <v>1764</v>
      </c>
      <c r="K121" s="60">
        <f t="shared" si="0"/>
        <v>1786</v>
      </c>
      <c r="L121" s="60">
        <f t="shared" si="0"/>
        <v>53</v>
      </c>
      <c r="M121" s="59"/>
      <c r="N121" s="59"/>
      <c r="O121" s="59"/>
      <c r="P121" s="59"/>
      <c r="Q121" s="59">
        <f>SUM(Q4:Q111)</f>
        <v>52</v>
      </c>
      <c r="R121" s="59"/>
      <c r="S121" s="59">
        <f>SUM(S4:S111)</f>
        <v>98</v>
      </c>
      <c r="T121" s="59"/>
      <c r="U121" s="59">
        <f>SUM(U4:U111)</f>
        <v>28</v>
      </c>
      <c r="V121" s="59"/>
      <c r="W121" s="59">
        <f>SUM(W4:W111)</f>
        <v>0</v>
      </c>
      <c r="X121" s="59"/>
    </row>
    <row r="122" spans="1:24">
      <c r="A122" s="6" t="s">
        <v>524</v>
      </c>
      <c r="B122" s="6"/>
      <c r="C122" s="6"/>
      <c r="D122" s="6"/>
      <c r="E122" s="6"/>
      <c r="F122" s="6">
        <v>1.1</v>
      </c>
      <c r="G122" s="6">
        <v>1.1</v>
      </c>
      <c r="H122" s="6">
        <v>1.1</v>
      </c>
      <c r="I122" s="6">
        <v>1.1</v>
      </c>
      <c r="J122" s="6">
        <v>1.1</v>
      </c>
      <c r="K122" s="6">
        <v>1.1</v>
      </c>
      <c r="L122" s="6">
        <v>1.1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8.75" spans="1:24">
      <c r="A123" s="6" t="s">
        <v>299</v>
      </c>
      <c r="B123" s="6"/>
      <c r="C123" s="6"/>
      <c r="D123" s="6"/>
      <c r="E123" s="6"/>
      <c r="F123" s="61">
        <f t="shared" ref="F123:L123" si="1">F121*F122</f>
        <v>79.2</v>
      </c>
      <c r="G123" s="61">
        <f t="shared" si="1"/>
        <v>748</v>
      </c>
      <c r="H123" s="61">
        <f t="shared" si="1"/>
        <v>363</v>
      </c>
      <c r="I123" s="61">
        <f t="shared" si="1"/>
        <v>478.5</v>
      </c>
      <c r="J123" s="61">
        <f t="shared" si="1"/>
        <v>1940.4</v>
      </c>
      <c r="K123" s="61">
        <f t="shared" si="1"/>
        <v>1964.6</v>
      </c>
      <c r="L123" s="61">
        <f t="shared" si="1"/>
        <v>58.3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</sheetData>
  <mergeCells count="40">
    <mergeCell ref="A1:O1"/>
    <mergeCell ref="E2:K2"/>
    <mergeCell ref="P2:Q2"/>
    <mergeCell ref="R2:S2"/>
    <mergeCell ref="T2:U2"/>
    <mergeCell ref="V2:W2"/>
    <mergeCell ref="B3:C3"/>
    <mergeCell ref="M3:N3"/>
    <mergeCell ref="A4:A31"/>
    <mergeCell ref="A32:A36"/>
    <mergeCell ref="A37:A42"/>
    <mergeCell ref="A43:A46"/>
    <mergeCell ref="A47:A52"/>
    <mergeCell ref="A53:A54"/>
    <mergeCell ref="A55:A57"/>
    <mergeCell ref="A58:A59"/>
    <mergeCell ref="A60:A62"/>
    <mergeCell ref="A63:A65"/>
    <mergeCell ref="A66:A67"/>
    <mergeCell ref="A68:A71"/>
    <mergeCell ref="A72:A75"/>
    <mergeCell ref="A76:A78"/>
    <mergeCell ref="A79:A80"/>
    <mergeCell ref="A81:A87"/>
    <mergeCell ref="A88:A93"/>
    <mergeCell ref="A94:A96"/>
    <mergeCell ref="A97:A98"/>
    <mergeCell ref="A100:A102"/>
    <mergeCell ref="A104:A106"/>
    <mergeCell ref="A108:A110"/>
    <mergeCell ref="B28:B31"/>
    <mergeCell ref="B47:B48"/>
    <mergeCell ref="B49:B50"/>
    <mergeCell ref="B51:B52"/>
    <mergeCell ref="B53:B54"/>
    <mergeCell ref="B77:B78"/>
    <mergeCell ref="B95:B96"/>
    <mergeCell ref="H56:H57"/>
    <mergeCell ref="H95:H96"/>
    <mergeCell ref="K102:K10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HZS150混凝土站强电回路配置清单</vt:lpstr>
      <vt:lpstr>HZS150混凝土站电磁阀、传感器配置清单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YFB9</dc:creator>
  <cp:lastModifiedBy>请叫我浩子╱╱</cp:lastModifiedBy>
  <dcterms:created xsi:type="dcterms:W3CDTF">2006-09-13T11:21:00Z</dcterms:created>
  <dcterms:modified xsi:type="dcterms:W3CDTF">2025-08-13T06:58:46Z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998053038B424A35BA48A5A23804F559_13</vt:lpwstr>
  </property>
  <property fmtid="{D5CDD505-2E9C-101B-9397-08002B2CF9AE}" pid="3" name="KSOProductBuildVer">
    <vt:lpwstr>2052-12.1.0.21915</vt:lpwstr>
  </property>
</Properties>
</file>