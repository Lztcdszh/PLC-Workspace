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公式" sheetId="1" state="visible" r:id="rId1"/>
    <sheet xmlns:r="http://schemas.openxmlformats.org/officeDocument/2006/relationships" name="截面积对照表(铜芯380V)" sheetId="2" state="visible" r:id="rId2"/>
    <sheet xmlns:r="http://schemas.openxmlformats.org/officeDocument/2006/relationships" name="电机功率选型表" sheetId="3" state="visible" r:id="rId3"/>
    <sheet xmlns:r="http://schemas.openxmlformats.org/officeDocument/2006/relationships" name="控制电缆选型" sheetId="4" state="visible" r:id="rId4"/>
    <sheet xmlns:r="http://schemas.openxmlformats.org/officeDocument/2006/relationships" name="截面积计算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0C447C"/>
      <sz val="12"/>
    </font>
    <font>
      <name val="微软雅黑"/>
      <sz val="11"/>
    </font>
    <font>
      <name val="微软雅黑"/>
      <b val="1"/>
      <color rgb="00633806"/>
      <sz val="12"/>
    </font>
    <font>
      <name val="微软雅黑"/>
      <b val="1"/>
      <color rgb="00085041"/>
      <sz val="11"/>
    </font>
    <font>
      <name val="微软雅黑"/>
      <b val="1"/>
      <color rgb="00444441"/>
      <sz val="12"/>
    </font>
    <font>
      <name val="微软雅黑"/>
      <b val="1"/>
      <color rgb="00FFFFFF"/>
      <sz val="11"/>
    </font>
    <font>
      <name val="微软雅黑"/>
      <b val="1"/>
      <color rgb="000C447C"/>
      <sz val="11"/>
    </font>
    <font>
      <name val="微软雅黑"/>
      <i val="1"/>
      <color rgb="00666666"/>
      <sz val="10"/>
    </font>
    <font>
      <name val="微软雅黑"/>
      <b val="1"/>
      <sz val="11"/>
    </font>
    <font>
      <name val="微软雅黑"/>
      <sz val="12"/>
    </font>
    <font>
      <name val="微软雅黑"/>
      <b val="1"/>
      <color rgb="00085041"/>
      <sz val="12"/>
    </font>
    <font>
      <name val="微软雅黑"/>
      <b val="1"/>
      <color rgb="000C447C"/>
      <sz val="20"/>
    </font>
  </fonts>
  <fills count="11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FF8E1"/>
      </patternFill>
    </fill>
    <fill>
      <patternFill patternType="solid">
        <fgColor rgb="00FAEEDA"/>
      </patternFill>
    </fill>
    <fill>
      <patternFill patternType="solid">
        <fgColor rgb="00E8F5E9"/>
      </patternFill>
    </fill>
    <fill>
      <patternFill patternType="solid">
        <fgColor rgb="00F1EFE8"/>
      </patternFill>
    </fill>
    <fill>
      <patternFill patternType="solid">
        <fgColor rgb="00E8F4FF"/>
      </patternFill>
    </fill>
    <fill>
      <patternFill patternType="solid">
        <fgColor rgb="00409EFF"/>
      </patternFill>
    </fill>
    <fill>
      <patternFill patternType="solid">
        <fgColor rgb="00FFF3E0"/>
      </patternFill>
    </fill>
    <fill>
      <patternFill patternType="solid">
        <fgColor rgb="00FCEBEB"/>
      </patternFill>
    </fill>
  </fills>
  <borders count="8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/>
      <right style="thin">
        <color rgb="00888888"/>
      </right>
      <top/>
      <bottom/>
      <diagonal/>
    </border>
    <border>
      <left/>
      <right/>
      <top/>
      <bottom style="thin">
        <color rgb="00888888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0" customWidth="1" min="3" max="3"/>
    <col width="30" customWidth="1" min="4" max="4"/>
  </cols>
  <sheetData>
    <row r="1" ht="36" customHeight="1">
      <c r="A1" s="1" t="inlineStr">
        <is>
          <t>电缆截面积计算公式</t>
        </is>
      </c>
    </row>
    <row r="3">
      <c r="A3" s="2" t="inlineStr">
        <is>
          <t>方法一：按载流量选择（短距离 L ≤ 50m）</t>
        </is>
      </c>
    </row>
    <row r="4">
      <c r="B4" s="3" t="inlineStr">
        <is>
          <t>基本公式</t>
        </is>
      </c>
      <c r="C4" s="3" t="inlineStr">
        <is>
          <t>S = I ÷ J</t>
        </is>
      </c>
      <c r="D4" s="3" t="inlineStr">
        <is>
          <t>S:截面积(mm²)  I:电流(A)  J:电流密度</t>
        </is>
      </c>
    </row>
    <row r="5">
      <c r="B5" s="4" t="inlineStr">
        <is>
          <t>铜芯-连续工作制</t>
        </is>
      </c>
      <c r="C5" s="4" t="inlineStr">
        <is>
          <t>J = 4 ~ 5 A/mm²</t>
        </is>
      </c>
      <c r="D5" s="4" t="inlineStr">
        <is>
          <t>速算: S ≈ I ÷ 4</t>
        </is>
      </c>
    </row>
    <row r="6">
      <c r="B6" s="4" t="inlineStr">
        <is>
          <t>铜芯-断续/短时</t>
        </is>
      </c>
      <c r="C6" s="4" t="inlineStr">
        <is>
          <t>J = 5 ~ 8 A/mm²</t>
        </is>
      </c>
      <c r="D6" s="4" t="inlineStr">
        <is>
          <t>速算: S ≈ I ÷ 6</t>
        </is>
      </c>
    </row>
    <row r="7">
      <c r="B7" s="4" t="inlineStr">
        <is>
          <t>铝芯</t>
        </is>
      </c>
      <c r="C7" s="4" t="inlineStr">
        <is>
          <t>J = 3 ~ 4 A/mm²</t>
        </is>
      </c>
      <c r="D7" s="4" t="inlineStr">
        <is>
          <t>速算: S ≈ I ÷ 3</t>
        </is>
      </c>
    </row>
    <row r="9">
      <c r="A9" s="5" t="inlineStr">
        <is>
          <t>方法二：按电压降校验（长距离 L &gt; 50m）</t>
        </is>
      </c>
    </row>
    <row r="10">
      <c r="B10" s="3" t="inlineStr">
        <is>
          <t>三相380V</t>
        </is>
      </c>
      <c r="C10" s="3" t="inlineStr">
        <is>
          <t>S = (√3 × I × L × cosφ) ÷ (γ × ΔU)</t>
        </is>
      </c>
      <c r="D10" s="3" t="inlineStr">
        <is>
          <t>ΔU ≤ 19V (5%)</t>
        </is>
      </c>
    </row>
    <row r="11">
      <c r="B11" s="4" t="inlineStr">
        <is>
          <t>单相220V</t>
        </is>
      </c>
      <c r="C11" s="4" t="inlineStr">
        <is>
          <t>S = (2 × I × L × cosφ) ÷ (γ × ΔU)</t>
        </is>
      </c>
      <c r="D11" s="4" t="inlineStr">
        <is>
          <t>ΔU ≤ 11V (5%)</t>
        </is>
      </c>
    </row>
    <row r="12">
      <c r="B12" s="6" t="inlineStr">
        <is>
          <t>铜芯速算(380V)</t>
        </is>
      </c>
      <c r="C12" s="6" t="inlineStr">
        <is>
          <t>S ≈ 0.00128 × I × L</t>
        </is>
      </c>
      <c r="D12" s="6" t="inlineStr">
        <is>
          <t>cosφ=0.8, γ=57, ΔU=19V</t>
        </is>
      </c>
    </row>
    <row r="13">
      <c r="B13" s="4" t="inlineStr">
        <is>
          <t>铝芯速算(380V)</t>
        </is>
      </c>
      <c r="C13" s="4" t="inlineStr">
        <is>
          <t>S ≈ 0.00215 × I × L</t>
        </is>
      </c>
      <c r="D13" s="4" t="inlineStr">
        <is>
          <t>cosφ=0.8, γ=34, ΔU=19V</t>
        </is>
      </c>
    </row>
    <row r="15">
      <c r="A15" s="7" t="inlineStr">
        <is>
          <t>参数说明</t>
        </is>
      </c>
    </row>
    <row r="16">
      <c r="B16" s="4" t="inlineStr">
        <is>
          <t>S</t>
        </is>
      </c>
      <c r="C16" s="8" t="inlineStr">
        <is>
          <t>电缆截面积 (mm²)</t>
        </is>
      </c>
      <c r="D16" s="8" t="inlineStr">
        <is>
          <t>计算结果，向上取整到标准规格</t>
        </is>
      </c>
    </row>
    <row r="17">
      <c r="B17" s="4" t="inlineStr">
        <is>
          <t>I</t>
        </is>
      </c>
      <c r="C17" s="8" t="inlineStr">
        <is>
          <t>额定电流 (A)</t>
        </is>
      </c>
      <c r="D17" s="8" t="inlineStr">
        <is>
          <t>电机：P÷(√3×U×cosφ×η)</t>
        </is>
      </c>
    </row>
    <row r="18">
      <c r="B18" s="4" t="inlineStr">
        <is>
          <t>L</t>
        </is>
      </c>
      <c r="C18" s="8" t="inlineStr">
        <is>
          <t>电缆长度 (m)</t>
        </is>
      </c>
      <c r="D18" s="8" t="inlineStr">
        <is>
          <t>实际走线长度（单程）</t>
        </is>
      </c>
    </row>
    <row r="19">
      <c r="B19" s="4" t="inlineStr">
        <is>
          <t>J</t>
        </is>
      </c>
      <c r="C19" s="8" t="inlineStr">
        <is>
          <t>经济电流密度 (A/mm²)</t>
        </is>
      </c>
      <c r="D19" s="8" t="inlineStr">
        <is>
          <t>铜4~5, 铝3~4（连续工作制）</t>
        </is>
      </c>
    </row>
    <row r="20">
      <c r="B20" s="4" t="inlineStr">
        <is>
          <t>cosφ</t>
        </is>
      </c>
      <c r="C20" s="8" t="inlineStr">
        <is>
          <t>功率因数</t>
        </is>
      </c>
      <c r="D20" s="8" t="inlineStr">
        <is>
          <t>电机取0.8, 电阻负载取1.0</t>
        </is>
      </c>
    </row>
    <row r="21">
      <c r="B21" s="4" t="inlineStr">
        <is>
          <t>γ</t>
        </is>
      </c>
      <c r="C21" s="8" t="inlineStr">
        <is>
          <t>电导率 m/(Ω·mm²)</t>
        </is>
      </c>
      <c r="D21" s="8" t="inlineStr">
        <is>
          <t>铜=57, 铝=34</t>
        </is>
      </c>
    </row>
    <row r="22">
      <c r="B22" s="4" t="inlineStr">
        <is>
          <t>ΔU</t>
        </is>
      </c>
      <c r="C22" s="8" t="inlineStr">
        <is>
          <t>允许压降 (V)</t>
        </is>
      </c>
      <c r="D22" s="8" t="inlineStr">
        <is>
          <t>≤5%×U: 380V→19V, 220V→11V</t>
        </is>
      </c>
    </row>
    <row r="24">
      <c r="A24" s="7" t="inlineStr">
        <is>
          <t>选型流程</t>
        </is>
      </c>
    </row>
    <row r="25">
      <c r="B25" s="9" t="inlineStr">
        <is>
          <t>Step 1</t>
        </is>
      </c>
      <c r="C25" s="8" t="inlineStr">
        <is>
          <t>计算额定电流 I = P ÷ (√3 × U × cosφ × η)</t>
        </is>
      </c>
      <c r="D25" s="8" t="inlineStr">
        <is>
          <t>P:功率(W) U:电压(V) η:效率</t>
        </is>
      </c>
    </row>
    <row r="26">
      <c r="B26" s="9" t="inlineStr">
        <is>
          <t>Step 2</t>
        </is>
      </c>
      <c r="C26" s="8" t="inlineStr">
        <is>
          <t>按载流量初选：查载流量表选最小截面 S₁</t>
        </is>
      </c>
      <c r="D26" s="8" t="inlineStr">
        <is>
          <t>使载流量 ≥ I（见"计算公式"sheet载流量表）</t>
        </is>
      </c>
    </row>
    <row r="27">
      <c r="B27" s="9" t="inlineStr">
        <is>
          <t>Step 3</t>
        </is>
      </c>
      <c r="C27" s="8" t="inlineStr">
        <is>
          <t>按电压降校验：S₂ = (√3×I×L×cosφ)÷(γ×ΔU)</t>
        </is>
      </c>
      <c r="D27" s="8" t="inlineStr">
        <is>
          <t>L&gt;50m时必须校验</t>
        </is>
      </c>
    </row>
    <row r="28">
      <c r="B28" s="9" t="inlineStr">
        <is>
          <t>Step 4</t>
        </is>
      </c>
      <c r="C28" s="8" t="inlineStr">
        <is>
          <t>取 S = max(S₁, S₂)，向上取整到标准规格</t>
        </is>
      </c>
      <c r="D28" s="8" t="inlineStr">
        <is>
          <t>标准:1.5/2.5/4/6/10/16/25/35/50/70/95/120/150/185/240</t>
        </is>
      </c>
    </row>
    <row r="30">
      <c r="A30" s="7" t="inlineStr">
        <is>
          <t>常用电缆标准截面积序列 (mm²)</t>
        </is>
      </c>
    </row>
    <row r="31">
      <c r="B31" s="10" t="inlineStr">
        <is>
          <t>序列</t>
        </is>
      </c>
      <c r="C31" s="11" t="inlineStr">
        <is>
          <t>1 → 1.5 → 2.5 → 4 → 6 → 10 → 16 → 25 → 35 → 50 → 70 → 95 → 120 → 150 → 185 → 240</t>
        </is>
      </c>
      <c r="D31" s="19" t="n"/>
    </row>
    <row r="33">
      <c r="A33" s="7" t="inlineStr">
        <is>
          <t>本表常用电缆规格及载流量（铜芯，环境温度30°C）</t>
        </is>
      </c>
    </row>
    <row r="34">
      <c r="B34" s="10" t="inlineStr">
        <is>
          <t>电缆型号</t>
        </is>
      </c>
      <c r="C34" s="10" t="inlineStr">
        <is>
          <t>截面(mm²)</t>
        </is>
      </c>
      <c r="D34" s="10" t="inlineStr">
        <is>
          <t>类型/载流量/典型用途</t>
        </is>
      </c>
    </row>
    <row r="35">
      <c r="B35" s="4" t="inlineStr">
        <is>
          <t>VVR 2×1.5²</t>
        </is>
      </c>
      <c r="C35" s="4" t="inlineStr">
        <is>
          <t>信号/控制 / ~16A</t>
        </is>
      </c>
      <c r="D35" s="8" t="inlineStr">
        <is>
          <t>弱电信号、指示灯回路</t>
        </is>
      </c>
    </row>
    <row r="36">
      <c r="B36" s="9" t="inlineStr">
        <is>
          <t>VVR 3×2.5²+1×1</t>
        </is>
      </c>
      <c r="C36" s="9" t="inlineStr">
        <is>
          <t>动力 / ~24A</t>
        </is>
      </c>
      <c r="D36" s="13" t="inlineStr">
        <is>
          <t>小功率电机 ≤5.5kW</t>
        </is>
      </c>
    </row>
    <row r="37">
      <c r="B37" s="4" t="inlineStr">
        <is>
          <t>VVR 3×4²+1×2.5</t>
        </is>
      </c>
      <c r="C37" s="4" t="inlineStr">
        <is>
          <t>动力 / ~32A</t>
        </is>
      </c>
      <c r="D37" s="8" t="inlineStr">
        <is>
          <t>小功率电机 5.5~7.5kW</t>
        </is>
      </c>
    </row>
    <row r="38">
      <c r="B38" s="9" t="inlineStr">
        <is>
          <t>VVR 3×6²+1×4</t>
        </is>
      </c>
      <c r="C38" s="9" t="inlineStr">
        <is>
          <t>动力 / ~41A</t>
        </is>
      </c>
      <c r="D38" s="13" t="inlineStr">
        <is>
          <t>电机 7.5~11kW</t>
        </is>
      </c>
    </row>
    <row r="39">
      <c r="B39" s="4" t="inlineStr">
        <is>
          <t>VVR 3×10²+1×6</t>
        </is>
      </c>
      <c r="C39" s="4" t="inlineStr">
        <is>
          <t>动力 / ~57A</t>
        </is>
      </c>
      <c r="D39" s="8" t="inlineStr">
        <is>
          <t>电机 15~18.5kW</t>
        </is>
      </c>
    </row>
    <row r="40">
      <c r="B40" s="9" t="inlineStr">
        <is>
          <t>VVR 3×16²+1×10</t>
        </is>
      </c>
      <c r="C40" s="9" t="inlineStr">
        <is>
          <t>动力 / ~76A</t>
        </is>
      </c>
      <c r="D40" s="13" t="inlineStr">
        <is>
          <t>电机 22~30kW</t>
        </is>
      </c>
    </row>
    <row r="41">
      <c r="B41" s="4" t="inlineStr">
        <is>
          <t>VVR 3×25²+1×16</t>
        </is>
      </c>
      <c r="C41" s="4" t="inlineStr">
        <is>
          <t>动力 / ~100A</t>
        </is>
      </c>
      <c r="D41" s="8" t="inlineStr">
        <is>
          <t>电机 37~45kW</t>
        </is>
      </c>
    </row>
    <row r="42">
      <c r="B42" s="9" t="inlineStr">
        <is>
          <t>VVR 3×35²+1×16</t>
        </is>
      </c>
      <c r="C42" s="9" t="inlineStr">
        <is>
          <t>动力 / ~125A</t>
        </is>
      </c>
      <c r="D42" s="13" t="inlineStr">
        <is>
          <t>电机 55kW</t>
        </is>
      </c>
    </row>
    <row r="43">
      <c r="B43" s="4" t="inlineStr">
        <is>
          <t>VVR 3×50²+1×25</t>
        </is>
      </c>
      <c r="C43" s="4" t="inlineStr">
        <is>
          <t>动力 / ~150A</t>
        </is>
      </c>
      <c r="D43" s="8" t="inlineStr">
        <is>
          <t>电机 75kW</t>
        </is>
      </c>
    </row>
    <row r="44">
      <c r="B44" s="9" t="inlineStr">
        <is>
          <t>VVR 3×70²+1×35</t>
        </is>
      </c>
      <c r="C44" s="9" t="inlineStr">
        <is>
          <t>动力 / ~190A</t>
        </is>
      </c>
      <c r="D44" s="13" t="inlineStr">
        <is>
          <t>电机 90~110kW</t>
        </is>
      </c>
    </row>
    <row r="45">
      <c r="B45" s="4" t="inlineStr">
        <is>
          <t>VVR 3×95²+1×50</t>
        </is>
      </c>
      <c r="C45" s="4" t="inlineStr">
        <is>
          <t>动力 / ~230A</t>
        </is>
      </c>
      <c r="D45" s="8" t="inlineStr">
        <is>
          <t>电机 132kW</t>
        </is>
      </c>
    </row>
    <row r="46">
      <c r="B46" s="9" t="inlineStr">
        <is>
          <t>VVR 3×120²+1×70</t>
        </is>
      </c>
      <c r="C46" s="9" t="inlineStr">
        <is>
          <t>动力 / ~265A</t>
        </is>
      </c>
      <c r="D46" s="13" t="inlineStr">
        <is>
          <t>电机 160kW</t>
        </is>
      </c>
    </row>
    <row r="47">
      <c r="B47" s="4" t="inlineStr">
        <is>
          <t>VVR 5×1.5²</t>
        </is>
      </c>
      <c r="C47" s="4" t="inlineStr">
        <is>
          <t>控制 / ~16A</t>
        </is>
      </c>
      <c r="D47" s="8" t="inlineStr">
        <is>
          <t>多路控制信号</t>
        </is>
      </c>
    </row>
    <row r="48">
      <c r="B48" s="9" t="inlineStr">
        <is>
          <t>VVR 4×1.5²</t>
        </is>
      </c>
      <c r="C48" s="9" t="inlineStr">
        <is>
          <t>控制 / ~16A</t>
        </is>
      </c>
      <c r="D48" s="13" t="inlineStr">
        <is>
          <t>控制信号</t>
        </is>
      </c>
    </row>
  </sheetData>
  <mergeCells count="9">
    <mergeCell ref="A1:D1"/>
    <mergeCell ref="A9:D9"/>
    <mergeCell ref="A3:D3"/>
    <mergeCell ref="A30:D30"/>
    <mergeCell ref="A15:D15"/>
    <mergeCell ref="D34"/>
    <mergeCell ref="A24:D24"/>
    <mergeCell ref="A33:D33"/>
    <mergeCell ref="C31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6" customHeight="1">
      <c r="A1" s="1" t="inlineStr">
        <is>
          <t>铜芯电缆截面积速查表（三相380V，cosφ=0.8，压降≤5%）</t>
        </is>
      </c>
    </row>
    <row r="2">
      <c r="A2" s="14" t="inlineStr">
        <is>
          <t>公式：S = max(I÷4, 0.00128×I×L)，取两者较大值并向上取整到标准规格</t>
        </is>
      </c>
    </row>
    <row r="4" ht="28" customHeight="1">
      <c r="A4" s="10" t="inlineStr">
        <is>
          <t>额定电流
(A)</t>
        </is>
      </c>
      <c r="B4" s="10" t="inlineStr">
        <is>
          <t>L=10m</t>
        </is>
      </c>
      <c r="C4" s="10" t="inlineStr">
        <is>
          <t>L=20m</t>
        </is>
      </c>
      <c r="D4" s="10" t="inlineStr">
        <is>
          <t>L=30m</t>
        </is>
      </c>
      <c r="E4" s="10" t="inlineStr">
        <is>
          <t>L=50m</t>
        </is>
      </c>
      <c r="F4" s="10" t="inlineStr">
        <is>
          <t>L=80m</t>
        </is>
      </c>
      <c r="G4" s="10" t="inlineStr">
        <is>
          <t>L=100m</t>
        </is>
      </c>
      <c r="H4" s="10" t="inlineStr">
        <is>
          <t>L=120m</t>
        </is>
      </c>
      <c r="I4" s="10" t="inlineStr">
        <is>
          <t>L=150m</t>
        </is>
      </c>
      <c r="J4" s="10" t="inlineStr">
        <is>
          <t>L=180m</t>
        </is>
      </c>
      <c r="K4" s="10" t="inlineStr">
        <is>
          <t>L=200m</t>
        </is>
      </c>
    </row>
    <row r="5">
      <c r="A5" s="4" t="n">
        <v>5</v>
      </c>
      <c r="B5" s="15" t="n">
        <v>1.5</v>
      </c>
      <c r="C5" s="15" t="n">
        <v>1.5</v>
      </c>
      <c r="D5" s="15" t="n">
        <v>1.5</v>
      </c>
      <c r="E5" s="15" t="n">
        <v>1.5</v>
      </c>
      <c r="F5" s="15" t="n">
        <v>1.5</v>
      </c>
      <c r="G5" s="15" t="n">
        <v>1.5</v>
      </c>
      <c r="H5" s="15" t="n">
        <v>1.5</v>
      </c>
      <c r="I5" s="15" t="n">
        <v>1.5</v>
      </c>
      <c r="J5" s="15" t="n">
        <v>1.5</v>
      </c>
      <c r="K5" s="15" t="n">
        <v>1.5</v>
      </c>
    </row>
    <row r="6">
      <c r="A6" s="9" t="n">
        <v>10</v>
      </c>
      <c r="B6" s="15" t="n">
        <v>1.5</v>
      </c>
      <c r="C6" s="15" t="n">
        <v>1.5</v>
      </c>
      <c r="D6" s="15" t="n">
        <v>1.5</v>
      </c>
      <c r="E6" s="15" t="n">
        <v>1.5</v>
      </c>
      <c r="F6" s="15" t="n">
        <v>1.5</v>
      </c>
      <c r="G6" s="15" t="n">
        <v>1.5</v>
      </c>
      <c r="H6" s="15" t="n">
        <v>2.5</v>
      </c>
      <c r="I6" s="15" t="n">
        <v>2.5</v>
      </c>
      <c r="J6" s="15" t="n">
        <v>2.5</v>
      </c>
      <c r="K6" s="9" t="n">
        <v>4</v>
      </c>
    </row>
    <row r="7">
      <c r="A7" s="4" t="n">
        <v>15</v>
      </c>
      <c r="B7" s="15" t="n">
        <v>1.5</v>
      </c>
      <c r="C7" s="15" t="n">
        <v>1.5</v>
      </c>
      <c r="D7" s="15" t="n">
        <v>1.5</v>
      </c>
      <c r="E7" s="15" t="n">
        <v>1.5</v>
      </c>
      <c r="F7" s="15" t="n">
        <v>2.5</v>
      </c>
      <c r="G7" s="15" t="n">
        <v>2.5</v>
      </c>
      <c r="H7" s="15" t="n">
        <v>2.5</v>
      </c>
      <c r="I7" s="9" t="n">
        <v>4</v>
      </c>
      <c r="J7" s="9" t="n">
        <v>4</v>
      </c>
      <c r="K7" s="9" t="n">
        <v>4</v>
      </c>
    </row>
    <row r="8">
      <c r="A8" s="9" t="n">
        <v>20</v>
      </c>
      <c r="B8" s="15" t="n">
        <v>2.5</v>
      </c>
      <c r="C8" s="15" t="n">
        <v>2.5</v>
      </c>
      <c r="D8" s="15" t="n">
        <v>2.5</v>
      </c>
      <c r="E8" s="15" t="n">
        <v>2.5</v>
      </c>
      <c r="F8" s="15" t="n">
        <v>2.5</v>
      </c>
      <c r="G8" s="9" t="n">
        <v>4</v>
      </c>
      <c r="H8" s="9" t="n">
        <v>4</v>
      </c>
      <c r="I8" s="9" t="n">
        <v>4</v>
      </c>
      <c r="J8" s="9" t="n">
        <v>6</v>
      </c>
      <c r="K8" s="9" t="n">
        <v>6</v>
      </c>
    </row>
    <row r="9">
      <c r="A9" s="4" t="n">
        <v>25</v>
      </c>
      <c r="B9" s="9" t="n">
        <v>4</v>
      </c>
      <c r="C9" s="9" t="n">
        <v>4</v>
      </c>
      <c r="D9" s="9" t="n">
        <v>4</v>
      </c>
      <c r="E9" s="9" t="n">
        <v>4</v>
      </c>
      <c r="F9" s="9" t="n">
        <v>4</v>
      </c>
      <c r="G9" s="9" t="n">
        <v>4</v>
      </c>
      <c r="H9" s="9" t="n">
        <v>4</v>
      </c>
      <c r="I9" s="9" t="n">
        <v>6</v>
      </c>
      <c r="J9" s="9" t="n">
        <v>6</v>
      </c>
      <c r="K9" s="9" t="n">
        <v>10</v>
      </c>
    </row>
    <row r="10">
      <c r="A10" s="9" t="n">
        <v>30</v>
      </c>
      <c r="B10" s="9" t="n">
        <v>4</v>
      </c>
      <c r="C10" s="9" t="n">
        <v>4</v>
      </c>
      <c r="D10" s="9" t="n">
        <v>4</v>
      </c>
      <c r="E10" s="9" t="n">
        <v>4</v>
      </c>
      <c r="F10" s="9" t="n">
        <v>4</v>
      </c>
      <c r="G10" s="9" t="n">
        <v>4</v>
      </c>
      <c r="H10" s="9" t="n">
        <v>6</v>
      </c>
      <c r="I10" s="9" t="n">
        <v>6</v>
      </c>
      <c r="J10" s="9" t="n">
        <v>10</v>
      </c>
      <c r="K10" s="9" t="n">
        <v>10</v>
      </c>
    </row>
    <row r="11">
      <c r="A11" s="4" t="n">
        <v>35</v>
      </c>
      <c r="B11" s="9" t="n">
        <v>6</v>
      </c>
      <c r="C11" s="9" t="n">
        <v>6</v>
      </c>
      <c r="D11" s="9" t="n">
        <v>6</v>
      </c>
      <c r="E11" s="9" t="n">
        <v>6</v>
      </c>
      <c r="F11" s="9" t="n">
        <v>6</v>
      </c>
      <c r="G11" s="9" t="n">
        <v>6</v>
      </c>
      <c r="H11" s="9" t="n">
        <v>6</v>
      </c>
      <c r="I11" s="9" t="n">
        <v>10</v>
      </c>
      <c r="J11" s="9" t="n">
        <v>10</v>
      </c>
      <c r="K11" s="9" t="n">
        <v>10</v>
      </c>
    </row>
    <row r="12">
      <c r="A12" s="9" t="n">
        <v>40</v>
      </c>
      <c r="B12" s="9" t="n">
        <v>6</v>
      </c>
      <c r="C12" s="9" t="n">
        <v>6</v>
      </c>
      <c r="D12" s="9" t="n">
        <v>6</v>
      </c>
      <c r="E12" s="9" t="n">
        <v>6</v>
      </c>
      <c r="F12" s="9" t="n">
        <v>6</v>
      </c>
      <c r="G12" s="9" t="n">
        <v>6</v>
      </c>
      <c r="H12" s="9" t="n">
        <v>10</v>
      </c>
      <c r="I12" s="9" t="n">
        <v>10</v>
      </c>
      <c r="J12" s="9" t="n">
        <v>10</v>
      </c>
      <c r="K12" s="3" t="n">
        <v>16</v>
      </c>
    </row>
    <row r="13">
      <c r="A13" s="4" t="n">
        <v>45</v>
      </c>
      <c r="B13" s="9" t="n">
        <v>10</v>
      </c>
      <c r="C13" s="9" t="n">
        <v>10</v>
      </c>
      <c r="D13" s="9" t="n">
        <v>10</v>
      </c>
      <c r="E13" s="9" t="n">
        <v>10</v>
      </c>
      <c r="F13" s="9" t="n">
        <v>10</v>
      </c>
      <c r="G13" s="9" t="n">
        <v>10</v>
      </c>
      <c r="H13" s="9" t="n">
        <v>10</v>
      </c>
      <c r="I13" s="9" t="n">
        <v>10</v>
      </c>
      <c r="J13" s="3" t="n">
        <v>16</v>
      </c>
      <c r="K13" s="3" t="n">
        <v>16</v>
      </c>
    </row>
    <row r="14">
      <c r="A14" s="9" t="n">
        <v>50</v>
      </c>
      <c r="B14" s="9" t="n">
        <v>10</v>
      </c>
      <c r="C14" s="9" t="n">
        <v>10</v>
      </c>
      <c r="D14" s="9" t="n">
        <v>10</v>
      </c>
      <c r="E14" s="9" t="n">
        <v>10</v>
      </c>
      <c r="F14" s="9" t="n">
        <v>10</v>
      </c>
      <c r="G14" s="9" t="n">
        <v>10</v>
      </c>
      <c r="H14" s="9" t="n">
        <v>10</v>
      </c>
      <c r="I14" s="9" t="n">
        <v>10</v>
      </c>
      <c r="J14" s="3" t="n">
        <v>16</v>
      </c>
      <c r="K14" s="3" t="n">
        <v>16</v>
      </c>
    </row>
    <row r="15">
      <c r="A15" s="4" t="n">
        <v>55</v>
      </c>
      <c r="B15" s="9" t="n">
        <v>10</v>
      </c>
      <c r="C15" s="9" t="n">
        <v>10</v>
      </c>
      <c r="D15" s="9" t="n">
        <v>10</v>
      </c>
      <c r="E15" s="9" t="n">
        <v>10</v>
      </c>
      <c r="F15" s="9" t="n">
        <v>10</v>
      </c>
      <c r="G15" s="9" t="n">
        <v>10</v>
      </c>
      <c r="H15" s="9" t="n">
        <v>10</v>
      </c>
      <c r="I15" s="3" t="n">
        <v>16</v>
      </c>
      <c r="J15" s="3" t="n">
        <v>16</v>
      </c>
      <c r="K15" s="3" t="n">
        <v>16</v>
      </c>
    </row>
    <row r="16">
      <c r="A16" s="9" t="n">
        <v>60</v>
      </c>
      <c r="B16" s="3" t="n">
        <v>16</v>
      </c>
      <c r="C16" s="3" t="n">
        <v>16</v>
      </c>
      <c r="D16" s="3" t="n">
        <v>16</v>
      </c>
      <c r="E16" s="3" t="n">
        <v>16</v>
      </c>
      <c r="F16" s="3" t="n">
        <v>16</v>
      </c>
      <c r="G16" s="3" t="n">
        <v>16</v>
      </c>
      <c r="H16" s="3" t="n">
        <v>16</v>
      </c>
      <c r="I16" s="3" t="n">
        <v>16</v>
      </c>
      <c r="J16" s="3" t="n">
        <v>16</v>
      </c>
      <c r="K16" s="3" t="n">
        <v>16</v>
      </c>
    </row>
    <row r="17">
      <c r="A17" s="4" t="n">
        <v>65</v>
      </c>
      <c r="B17" s="3" t="n">
        <v>16</v>
      </c>
      <c r="C17" s="3" t="n">
        <v>16</v>
      </c>
      <c r="D17" s="3" t="n">
        <v>16</v>
      </c>
      <c r="E17" s="3" t="n">
        <v>16</v>
      </c>
      <c r="F17" s="3" t="n">
        <v>16</v>
      </c>
      <c r="G17" s="3" t="n">
        <v>16</v>
      </c>
      <c r="H17" s="3" t="n">
        <v>16</v>
      </c>
      <c r="I17" s="3" t="n">
        <v>16</v>
      </c>
      <c r="J17" s="3" t="n">
        <v>16</v>
      </c>
      <c r="K17" s="3" t="n">
        <v>25</v>
      </c>
    </row>
    <row r="18">
      <c r="A18" s="9" t="n">
        <v>70</v>
      </c>
      <c r="B18" s="3" t="n">
        <v>16</v>
      </c>
      <c r="C18" s="3" t="n">
        <v>16</v>
      </c>
      <c r="D18" s="3" t="n">
        <v>16</v>
      </c>
      <c r="E18" s="3" t="n">
        <v>16</v>
      </c>
      <c r="F18" s="3" t="n">
        <v>16</v>
      </c>
      <c r="G18" s="3" t="n">
        <v>16</v>
      </c>
      <c r="H18" s="3" t="n">
        <v>16</v>
      </c>
      <c r="I18" s="3" t="n">
        <v>16</v>
      </c>
      <c r="J18" s="3" t="n">
        <v>25</v>
      </c>
      <c r="K18" s="3" t="n">
        <v>25</v>
      </c>
    </row>
    <row r="19">
      <c r="A19" s="4" t="n">
        <v>75</v>
      </c>
      <c r="B19" s="3" t="n">
        <v>16</v>
      </c>
      <c r="C19" s="3" t="n">
        <v>16</v>
      </c>
      <c r="D19" s="3" t="n">
        <v>16</v>
      </c>
      <c r="E19" s="3" t="n">
        <v>16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25</v>
      </c>
      <c r="K19" s="3" t="n">
        <v>25</v>
      </c>
    </row>
    <row r="20">
      <c r="A20" s="9" t="n">
        <v>80</v>
      </c>
      <c r="B20" s="3" t="n">
        <v>25</v>
      </c>
      <c r="C20" s="3" t="n">
        <v>25</v>
      </c>
      <c r="D20" s="3" t="n">
        <v>25</v>
      </c>
      <c r="E20" s="3" t="n">
        <v>25</v>
      </c>
      <c r="F20" s="3" t="n">
        <v>25</v>
      </c>
      <c r="G20" s="3" t="n">
        <v>25</v>
      </c>
      <c r="H20" s="3" t="n">
        <v>25</v>
      </c>
      <c r="I20" s="3" t="n">
        <v>25</v>
      </c>
      <c r="J20" s="3" t="n">
        <v>25</v>
      </c>
      <c r="K20" s="3" t="n">
        <v>25</v>
      </c>
    </row>
    <row r="21">
      <c r="A21" s="4" t="n">
        <v>85</v>
      </c>
      <c r="B21" s="3" t="n">
        <v>25</v>
      </c>
      <c r="C21" s="3" t="n">
        <v>25</v>
      </c>
      <c r="D21" s="3" t="n">
        <v>25</v>
      </c>
      <c r="E21" s="3" t="n">
        <v>25</v>
      </c>
      <c r="F21" s="3" t="n">
        <v>25</v>
      </c>
      <c r="G21" s="3" t="n">
        <v>25</v>
      </c>
      <c r="H21" s="3" t="n">
        <v>25</v>
      </c>
      <c r="I21" s="3" t="n">
        <v>25</v>
      </c>
      <c r="J21" s="3" t="n">
        <v>25</v>
      </c>
      <c r="K21" s="3" t="n">
        <v>25</v>
      </c>
    </row>
    <row r="22">
      <c r="A22" s="9" t="n">
        <v>90</v>
      </c>
      <c r="B22" s="3" t="n">
        <v>25</v>
      </c>
      <c r="C22" s="3" t="n">
        <v>25</v>
      </c>
      <c r="D22" s="3" t="n">
        <v>25</v>
      </c>
      <c r="E22" s="3" t="n">
        <v>25</v>
      </c>
      <c r="F22" s="3" t="n">
        <v>25</v>
      </c>
      <c r="G22" s="3" t="n">
        <v>25</v>
      </c>
      <c r="H22" s="3" t="n">
        <v>25</v>
      </c>
      <c r="I22" s="3" t="n">
        <v>25</v>
      </c>
      <c r="J22" s="3" t="n">
        <v>25</v>
      </c>
      <c r="K22" s="3" t="n">
        <v>25</v>
      </c>
    </row>
    <row r="23">
      <c r="A23" s="4" t="n">
        <v>95</v>
      </c>
      <c r="B23" s="3" t="n">
        <v>25</v>
      </c>
      <c r="C23" s="3" t="n">
        <v>25</v>
      </c>
      <c r="D23" s="3" t="n">
        <v>25</v>
      </c>
      <c r="E23" s="3" t="n">
        <v>25</v>
      </c>
      <c r="F23" s="3" t="n">
        <v>25</v>
      </c>
      <c r="G23" s="3" t="n">
        <v>25</v>
      </c>
      <c r="H23" s="3" t="n">
        <v>25</v>
      </c>
      <c r="I23" s="3" t="n">
        <v>25</v>
      </c>
      <c r="J23" s="3" t="n">
        <v>25</v>
      </c>
      <c r="K23" s="3" t="n">
        <v>25</v>
      </c>
    </row>
    <row r="24">
      <c r="A24" s="9" t="n">
        <v>100</v>
      </c>
      <c r="B24" s="3" t="n">
        <v>25</v>
      </c>
      <c r="C24" s="3" t="n">
        <v>25</v>
      </c>
      <c r="D24" s="3" t="n">
        <v>25</v>
      </c>
      <c r="E24" s="3" t="n">
        <v>25</v>
      </c>
      <c r="F24" s="3" t="n">
        <v>25</v>
      </c>
      <c r="G24" s="3" t="n">
        <v>25</v>
      </c>
      <c r="H24" s="3" t="n">
        <v>25</v>
      </c>
      <c r="I24" s="3" t="n">
        <v>25</v>
      </c>
      <c r="J24" s="3" t="n">
        <v>25</v>
      </c>
      <c r="K24" s="3" t="n">
        <v>35</v>
      </c>
    </row>
    <row r="25">
      <c r="A25" s="4" t="n">
        <v>105</v>
      </c>
      <c r="B25" s="3" t="n">
        <v>35</v>
      </c>
      <c r="C25" s="3" t="n">
        <v>35</v>
      </c>
      <c r="D25" s="3" t="n">
        <v>35</v>
      </c>
      <c r="E25" s="3" t="n">
        <v>35</v>
      </c>
      <c r="F25" s="3" t="n">
        <v>35</v>
      </c>
      <c r="G25" s="3" t="n">
        <v>35</v>
      </c>
      <c r="H25" s="3" t="n">
        <v>35</v>
      </c>
      <c r="I25" s="3" t="n">
        <v>35</v>
      </c>
      <c r="J25" s="3" t="n">
        <v>35</v>
      </c>
      <c r="K25" s="3" t="n">
        <v>35</v>
      </c>
    </row>
    <row r="26">
      <c r="A26" s="9" t="n">
        <v>110</v>
      </c>
      <c r="B26" s="3" t="n">
        <v>35</v>
      </c>
      <c r="C26" s="3" t="n">
        <v>35</v>
      </c>
      <c r="D26" s="3" t="n">
        <v>35</v>
      </c>
      <c r="E26" s="3" t="n">
        <v>35</v>
      </c>
      <c r="F26" s="3" t="n">
        <v>35</v>
      </c>
      <c r="G26" s="3" t="n">
        <v>35</v>
      </c>
      <c r="H26" s="3" t="n">
        <v>35</v>
      </c>
      <c r="I26" s="3" t="n">
        <v>35</v>
      </c>
      <c r="J26" s="3" t="n">
        <v>35</v>
      </c>
      <c r="K26" s="3" t="n">
        <v>35</v>
      </c>
    </row>
    <row r="27">
      <c r="A27" s="4" t="n">
        <v>115</v>
      </c>
      <c r="B27" s="3" t="n">
        <v>35</v>
      </c>
      <c r="C27" s="3" t="n">
        <v>35</v>
      </c>
      <c r="D27" s="3" t="n">
        <v>35</v>
      </c>
      <c r="E27" s="3" t="n">
        <v>35</v>
      </c>
      <c r="F27" s="3" t="n">
        <v>35</v>
      </c>
      <c r="G27" s="3" t="n">
        <v>35</v>
      </c>
      <c r="H27" s="3" t="n">
        <v>35</v>
      </c>
      <c r="I27" s="3" t="n">
        <v>35</v>
      </c>
      <c r="J27" s="3" t="n">
        <v>35</v>
      </c>
      <c r="K27" s="3" t="n">
        <v>35</v>
      </c>
    </row>
    <row r="28">
      <c r="A28" s="9" t="n">
        <v>120</v>
      </c>
      <c r="B28" s="3" t="n">
        <v>35</v>
      </c>
      <c r="C28" s="3" t="n">
        <v>35</v>
      </c>
      <c r="D28" s="3" t="n">
        <v>35</v>
      </c>
      <c r="E28" s="3" t="n">
        <v>35</v>
      </c>
      <c r="F28" s="3" t="n">
        <v>35</v>
      </c>
      <c r="G28" s="3" t="n">
        <v>35</v>
      </c>
      <c r="H28" s="3" t="n">
        <v>35</v>
      </c>
      <c r="I28" s="3" t="n">
        <v>35</v>
      </c>
      <c r="J28" s="3" t="n">
        <v>35</v>
      </c>
      <c r="K28" s="3" t="n">
        <v>35</v>
      </c>
    </row>
    <row r="29">
      <c r="A29" s="4" t="n">
        <v>125</v>
      </c>
      <c r="B29" s="3" t="n">
        <v>35</v>
      </c>
      <c r="C29" s="3" t="n">
        <v>35</v>
      </c>
      <c r="D29" s="3" t="n">
        <v>35</v>
      </c>
      <c r="E29" s="3" t="n">
        <v>35</v>
      </c>
      <c r="F29" s="3" t="n">
        <v>35</v>
      </c>
      <c r="G29" s="3" t="n">
        <v>35</v>
      </c>
      <c r="H29" s="3" t="n">
        <v>35</v>
      </c>
      <c r="I29" s="3" t="n">
        <v>35</v>
      </c>
      <c r="J29" s="3" t="n">
        <v>35</v>
      </c>
      <c r="K29" s="3" t="n">
        <v>35</v>
      </c>
    </row>
    <row r="30">
      <c r="A30" s="9" t="n">
        <v>130</v>
      </c>
      <c r="B30" s="16" t="n">
        <v>50</v>
      </c>
      <c r="C30" s="16" t="n">
        <v>50</v>
      </c>
      <c r="D30" s="16" t="n">
        <v>50</v>
      </c>
      <c r="E30" s="16" t="n">
        <v>50</v>
      </c>
      <c r="F30" s="16" t="n">
        <v>50</v>
      </c>
      <c r="G30" s="16" t="n">
        <v>50</v>
      </c>
      <c r="H30" s="16" t="n">
        <v>50</v>
      </c>
      <c r="I30" s="16" t="n">
        <v>50</v>
      </c>
      <c r="J30" s="16" t="n">
        <v>50</v>
      </c>
      <c r="K30" s="16" t="n">
        <v>50</v>
      </c>
    </row>
    <row r="31">
      <c r="A31" s="4" t="n">
        <v>135</v>
      </c>
      <c r="B31" s="16" t="n">
        <v>50</v>
      </c>
      <c r="C31" s="16" t="n">
        <v>50</v>
      </c>
      <c r="D31" s="16" t="n">
        <v>50</v>
      </c>
      <c r="E31" s="16" t="n">
        <v>50</v>
      </c>
      <c r="F31" s="16" t="n">
        <v>50</v>
      </c>
      <c r="G31" s="16" t="n">
        <v>50</v>
      </c>
      <c r="H31" s="16" t="n">
        <v>50</v>
      </c>
      <c r="I31" s="16" t="n">
        <v>50</v>
      </c>
      <c r="J31" s="16" t="n">
        <v>50</v>
      </c>
      <c r="K31" s="16" t="n">
        <v>50</v>
      </c>
    </row>
    <row r="32">
      <c r="A32" s="9" t="n">
        <v>140</v>
      </c>
      <c r="B32" s="16" t="n">
        <v>50</v>
      </c>
      <c r="C32" s="16" t="n">
        <v>50</v>
      </c>
      <c r="D32" s="16" t="n">
        <v>50</v>
      </c>
      <c r="E32" s="16" t="n">
        <v>50</v>
      </c>
      <c r="F32" s="16" t="n">
        <v>50</v>
      </c>
      <c r="G32" s="16" t="n">
        <v>50</v>
      </c>
      <c r="H32" s="16" t="n">
        <v>50</v>
      </c>
      <c r="I32" s="16" t="n">
        <v>50</v>
      </c>
      <c r="J32" s="16" t="n">
        <v>50</v>
      </c>
      <c r="K32" s="16" t="n">
        <v>50</v>
      </c>
    </row>
    <row r="33">
      <c r="A33" s="4" t="n">
        <v>145</v>
      </c>
      <c r="B33" s="16" t="n">
        <v>50</v>
      </c>
      <c r="C33" s="16" t="n">
        <v>50</v>
      </c>
      <c r="D33" s="16" t="n">
        <v>50</v>
      </c>
      <c r="E33" s="16" t="n">
        <v>50</v>
      </c>
      <c r="F33" s="16" t="n">
        <v>50</v>
      </c>
      <c r="G33" s="16" t="n">
        <v>50</v>
      </c>
      <c r="H33" s="16" t="n">
        <v>50</v>
      </c>
      <c r="I33" s="16" t="n">
        <v>50</v>
      </c>
      <c r="J33" s="16" t="n">
        <v>50</v>
      </c>
      <c r="K33" s="16" t="n">
        <v>50</v>
      </c>
    </row>
    <row r="34">
      <c r="A34" s="9" t="n">
        <v>150</v>
      </c>
      <c r="B34" s="16" t="n">
        <v>50</v>
      </c>
      <c r="C34" s="16" t="n">
        <v>50</v>
      </c>
      <c r="D34" s="16" t="n">
        <v>50</v>
      </c>
      <c r="E34" s="16" t="n">
        <v>50</v>
      </c>
      <c r="F34" s="16" t="n">
        <v>50</v>
      </c>
      <c r="G34" s="16" t="n">
        <v>50</v>
      </c>
      <c r="H34" s="16" t="n">
        <v>50</v>
      </c>
      <c r="I34" s="16" t="n">
        <v>50</v>
      </c>
      <c r="J34" s="16" t="n">
        <v>50</v>
      </c>
      <c r="K34" s="16" t="n">
        <v>50</v>
      </c>
    </row>
    <row r="35">
      <c r="A35" s="4" t="n">
        <v>155</v>
      </c>
      <c r="B35" s="16" t="n">
        <v>70</v>
      </c>
      <c r="C35" s="16" t="n">
        <v>70</v>
      </c>
      <c r="D35" s="16" t="n">
        <v>70</v>
      </c>
      <c r="E35" s="16" t="n">
        <v>70</v>
      </c>
      <c r="F35" s="16" t="n">
        <v>70</v>
      </c>
      <c r="G35" s="16" t="n">
        <v>70</v>
      </c>
      <c r="H35" s="16" t="n">
        <v>70</v>
      </c>
      <c r="I35" s="16" t="n">
        <v>70</v>
      </c>
      <c r="J35" s="16" t="n">
        <v>70</v>
      </c>
      <c r="K35" s="16" t="n">
        <v>70</v>
      </c>
    </row>
    <row r="36">
      <c r="A36" s="9" t="n">
        <v>160</v>
      </c>
      <c r="B36" s="16" t="n">
        <v>70</v>
      </c>
      <c r="C36" s="16" t="n">
        <v>70</v>
      </c>
      <c r="D36" s="16" t="n">
        <v>70</v>
      </c>
      <c r="E36" s="16" t="n">
        <v>70</v>
      </c>
      <c r="F36" s="16" t="n">
        <v>70</v>
      </c>
      <c r="G36" s="16" t="n">
        <v>70</v>
      </c>
      <c r="H36" s="16" t="n">
        <v>70</v>
      </c>
      <c r="I36" s="16" t="n">
        <v>70</v>
      </c>
      <c r="J36" s="16" t="n">
        <v>70</v>
      </c>
      <c r="K36" s="16" t="n">
        <v>70</v>
      </c>
    </row>
    <row r="37">
      <c r="A37" s="4" t="n">
        <v>165</v>
      </c>
      <c r="B37" s="16" t="n">
        <v>70</v>
      </c>
      <c r="C37" s="16" t="n">
        <v>70</v>
      </c>
      <c r="D37" s="16" t="n">
        <v>70</v>
      </c>
      <c r="E37" s="16" t="n">
        <v>70</v>
      </c>
      <c r="F37" s="16" t="n">
        <v>70</v>
      </c>
      <c r="G37" s="16" t="n">
        <v>70</v>
      </c>
      <c r="H37" s="16" t="n">
        <v>70</v>
      </c>
      <c r="I37" s="16" t="n">
        <v>70</v>
      </c>
      <c r="J37" s="16" t="n">
        <v>70</v>
      </c>
      <c r="K37" s="16" t="n">
        <v>70</v>
      </c>
    </row>
    <row r="38">
      <c r="A38" s="9" t="n">
        <v>170</v>
      </c>
      <c r="B38" s="16" t="n">
        <v>70</v>
      </c>
      <c r="C38" s="16" t="n">
        <v>70</v>
      </c>
      <c r="D38" s="16" t="n">
        <v>70</v>
      </c>
      <c r="E38" s="16" t="n">
        <v>70</v>
      </c>
      <c r="F38" s="16" t="n">
        <v>70</v>
      </c>
      <c r="G38" s="16" t="n">
        <v>70</v>
      </c>
      <c r="H38" s="16" t="n">
        <v>70</v>
      </c>
      <c r="I38" s="16" t="n">
        <v>70</v>
      </c>
      <c r="J38" s="16" t="n">
        <v>70</v>
      </c>
      <c r="K38" s="16" t="n">
        <v>70</v>
      </c>
    </row>
    <row r="39">
      <c r="A39" s="4" t="n">
        <v>175</v>
      </c>
      <c r="B39" s="16" t="n">
        <v>70</v>
      </c>
      <c r="C39" s="16" t="n">
        <v>70</v>
      </c>
      <c r="D39" s="16" t="n">
        <v>70</v>
      </c>
      <c r="E39" s="16" t="n">
        <v>70</v>
      </c>
      <c r="F39" s="16" t="n">
        <v>70</v>
      </c>
      <c r="G39" s="16" t="n">
        <v>70</v>
      </c>
      <c r="H39" s="16" t="n">
        <v>70</v>
      </c>
      <c r="I39" s="16" t="n">
        <v>70</v>
      </c>
      <c r="J39" s="16" t="n">
        <v>70</v>
      </c>
      <c r="K39" s="16" t="n">
        <v>70</v>
      </c>
    </row>
    <row r="40">
      <c r="A40" s="9" t="n">
        <v>180</v>
      </c>
      <c r="B40" s="16" t="n">
        <v>70</v>
      </c>
      <c r="C40" s="16" t="n">
        <v>70</v>
      </c>
      <c r="D40" s="16" t="n">
        <v>70</v>
      </c>
      <c r="E40" s="16" t="n">
        <v>70</v>
      </c>
      <c r="F40" s="16" t="n">
        <v>70</v>
      </c>
      <c r="G40" s="16" t="n">
        <v>70</v>
      </c>
      <c r="H40" s="16" t="n">
        <v>70</v>
      </c>
      <c r="I40" s="16" t="n">
        <v>70</v>
      </c>
      <c r="J40" s="16" t="n">
        <v>70</v>
      </c>
      <c r="K40" s="16" t="n">
        <v>70</v>
      </c>
    </row>
    <row r="41">
      <c r="A41" s="4" t="n">
        <v>185</v>
      </c>
      <c r="B41" s="16" t="n">
        <v>70</v>
      </c>
      <c r="C41" s="16" t="n">
        <v>70</v>
      </c>
      <c r="D41" s="16" t="n">
        <v>70</v>
      </c>
      <c r="E41" s="16" t="n">
        <v>70</v>
      </c>
      <c r="F41" s="16" t="n">
        <v>70</v>
      </c>
      <c r="G41" s="16" t="n">
        <v>70</v>
      </c>
      <c r="H41" s="16" t="n">
        <v>70</v>
      </c>
      <c r="I41" s="16" t="n">
        <v>70</v>
      </c>
      <c r="J41" s="16" t="n">
        <v>70</v>
      </c>
      <c r="K41" s="16" t="n">
        <v>70</v>
      </c>
    </row>
    <row r="42">
      <c r="A42" s="9" t="n">
        <v>190</v>
      </c>
      <c r="B42" s="16" t="n">
        <v>70</v>
      </c>
      <c r="C42" s="16" t="n">
        <v>70</v>
      </c>
      <c r="D42" s="16" t="n">
        <v>70</v>
      </c>
      <c r="E42" s="16" t="n">
        <v>70</v>
      </c>
      <c r="F42" s="16" t="n">
        <v>70</v>
      </c>
      <c r="G42" s="16" t="n">
        <v>70</v>
      </c>
      <c r="H42" s="16" t="n">
        <v>70</v>
      </c>
      <c r="I42" s="16" t="n">
        <v>70</v>
      </c>
      <c r="J42" s="16" t="n">
        <v>70</v>
      </c>
      <c r="K42" s="16" t="n">
        <v>70</v>
      </c>
    </row>
    <row r="43">
      <c r="A43" s="4" t="n">
        <v>195</v>
      </c>
      <c r="B43" s="16" t="n">
        <v>95</v>
      </c>
      <c r="C43" s="16" t="n">
        <v>95</v>
      </c>
      <c r="D43" s="16" t="n">
        <v>95</v>
      </c>
      <c r="E43" s="16" t="n">
        <v>95</v>
      </c>
      <c r="F43" s="16" t="n">
        <v>95</v>
      </c>
      <c r="G43" s="16" t="n">
        <v>95</v>
      </c>
      <c r="H43" s="16" t="n">
        <v>95</v>
      </c>
      <c r="I43" s="16" t="n">
        <v>95</v>
      </c>
      <c r="J43" s="16" t="n">
        <v>95</v>
      </c>
      <c r="K43" s="16" t="n">
        <v>95</v>
      </c>
    </row>
    <row r="44">
      <c r="A44" s="9" t="n">
        <v>200</v>
      </c>
      <c r="B44" s="16" t="n">
        <v>95</v>
      </c>
      <c r="C44" s="16" t="n">
        <v>95</v>
      </c>
      <c r="D44" s="16" t="n">
        <v>95</v>
      </c>
      <c r="E44" s="16" t="n">
        <v>95</v>
      </c>
      <c r="F44" s="16" t="n">
        <v>95</v>
      </c>
      <c r="G44" s="16" t="n">
        <v>95</v>
      </c>
      <c r="H44" s="16" t="n">
        <v>95</v>
      </c>
      <c r="I44" s="16" t="n">
        <v>95</v>
      </c>
      <c r="J44" s="16" t="n">
        <v>95</v>
      </c>
      <c r="K44" s="16" t="n">
        <v>95</v>
      </c>
    </row>
    <row r="45">
      <c r="A45" s="4" t="n">
        <v>205</v>
      </c>
      <c r="B45" s="16" t="n">
        <v>95</v>
      </c>
      <c r="C45" s="16" t="n">
        <v>95</v>
      </c>
      <c r="D45" s="16" t="n">
        <v>95</v>
      </c>
      <c r="E45" s="16" t="n">
        <v>95</v>
      </c>
      <c r="F45" s="16" t="n">
        <v>95</v>
      </c>
      <c r="G45" s="16" t="n">
        <v>95</v>
      </c>
      <c r="H45" s="16" t="n">
        <v>95</v>
      </c>
      <c r="I45" s="16" t="n">
        <v>95</v>
      </c>
      <c r="J45" s="16" t="n">
        <v>95</v>
      </c>
      <c r="K45" s="16" t="n">
        <v>95</v>
      </c>
    </row>
    <row r="46">
      <c r="A46" s="9" t="n">
        <v>210</v>
      </c>
      <c r="B46" s="16" t="n">
        <v>95</v>
      </c>
      <c r="C46" s="16" t="n">
        <v>95</v>
      </c>
      <c r="D46" s="16" t="n">
        <v>95</v>
      </c>
      <c r="E46" s="16" t="n">
        <v>95</v>
      </c>
      <c r="F46" s="16" t="n">
        <v>95</v>
      </c>
      <c r="G46" s="16" t="n">
        <v>95</v>
      </c>
      <c r="H46" s="16" t="n">
        <v>95</v>
      </c>
      <c r="I46" s="16" t="n">
        <v>95</v>
      </c>
      <c r="J46" s="16" t="n">
        <v>95</v>
      </c>
      <c r="K46" s="16" t="n">
        <v>95</v>
      </c>
    </row>
    <row r="47">
      <c r="A47" s="4" t="n">
        <v>215</v>
      </c>
      <c r="B47" s="16" t="n">
        <v>95</v>
      </c>
      <c r="C47" s="16" t="n">
        <v>95</v>
      </c>
      <c r="D47" s="16" t="n">
        <v>95</v>
      </c>
      <c r="E47" s="16" t="n">
        <v>95</v>
      </c>
      <c r="F47" s="16" t="n">
        <v>95</v>
      </c>
      <c r="G47" s="16" t="n">
        <v>95</v>
      </c>
      <c r="H47" s="16" t="n">
        <v>95</v>
      </c>
      <c r="I47" s="16" t="n">
        <v>95</v>
      </c>
      <c r="J47" s="16" t="n">
        <v>95</v>
      </c>
      <c r="K47" s="16" t="n">
        <v>95</v>
      </c>
    </row>
    <row r="48">
      <c r="A48" s="9" t="n">
        <v>220</v>
      </c>
      <c r="B48" s="16" t="n">
        <v>95</v>
      </c>
      <c r="C48" s="16" t="n">
        <v>95</v>
      </c>
      <c r="D48" s="16" t="n">
        <v>95</v>
      </c>
      <c r="E48" s="16" t="n">
        <v>95</v>
      </c>
      <c r="F48" s="16" t="n">
        <v>95</v>
      </c>
      <c r="G48" s="16" t="n">
        <v>95</v>
      </c>
      <c r="H48" s="16" t="n">
        <v>95</v>
      </c>
      <c r="I48" s="16" t="n">
        <v>95</v>
      </c>
      <c r="J48" s="16" t="n">
        <v>95</v>
      </c>
      <c r="K48" s="16" t="n">
        <v>95</v>
      </c>
    </row>
    <row r="49">
      <c r="A49" s="4" t="n">
        <v>225</v>
      </c>
      <c r="B49" s="16" t="n">
        <v>95</v>
      </c>
      <c r="C49" s="16" t="n">
        <v>95</v>
      </c>
      <c r="D49" s="16" t="n">
        <v>95</v>
      </c>
      <c r="E49" s="16" t="n">
        <v>95</v>
      </c>
      <c r="F49" s="16" t="n">
        <v>95</v>
      </c>
      <c r="G49" s="16" t="n">
        <v>95</v>
      </c>
      <c r="H49" s="16" t="n">
        <v>95</v>
      </c>
      <c r="I49" s="16" t="n">
        <v>95</v>
      </c>
      <c r="J49" s="16" t="n">
        <v>95</v>
      </c>
      <c r="K49" s="16" t="n">
        <v>95</v>
      </c>
    </row>
    <row r="50">
      <c r="A50" s="9" t="n">
        <v>230</v>
      </c>
      <c r="B50" s="16" t="n">
        <v>95</v>
      </c>
      <c r="C50" s="16" t="n">
        <v>95</v>
      </c>
      <c r="D50" s="16" t="n">
        <v>95</v>
      </c>
      <c r="E50" s="16" t="n">
        <v>95</v>
      </c>
      <c r="F50" s="16" t="n">
        <v>95</v>
      </c>
      <c r="G50" s="16" t="n">
        <v>95</v>
      </c>
      <c r="H50" s="16" t="n">
        <v>95</v>
      </c>
      <c r="I50" s="16" t="n">
        <v>95</v>
      </c>
      <c r="J50" s="16" t="n">
        <v>95</v>
      </c>
      <c r="K50" s="16" t="n">
        <v>95</v>
      </c>
    </row>
    <row r="51">
      <c r="A51" s="4" t="n">
        <v>235</v>
      </c>
      <c r="B51" s="17" t="n">
        <v>120</v>
      </c>
      <c r="C51" s="17" t="n">
        <v>120</v>
      </c>
      <c r="D51" s="17" t="n">
        <v>120</v>
      </c>
      <c r="E51" s="17" t="n">
        <v>120</v>
      </c>
      <c r="F51" s="17" t="n">
        <v>120</v>
      </c>
      <c r="G51" s="17" t="n">
        <v>120</v>
      </c>
      <c r="H51" s="17" t="n">
        <v>120</v>
      </c>
      <c r="I51" s="17" t="n">
        <v>120</v>
      </c>
      <c r="J51" s="17" t="n">
        <v>120</v>
      </c>
      <c r="K51" s="17" t="n">
        <v>120</v>
      </c>
    </row>
    <row r="52">
      <c r="A52" s="9" t="n">
        <v>240</v>
      </c>
      <c r="B52" s="17" t="n">
        <v>120</v>
      </c>
      <c r="C52" s="17" t="n">
        <v>120</v>
      </c>
      <c r="D52" s="17" t="n">
        <v>120</v>
      </c>
      <c r="E52" s="17" t="n">
        <v>120</v>
      </c>
      <c r="F52" s="17" t="n">
        <v>120</v>
      </c>
      <c r="G52" s="17" t="n">
        <v>120</v>
      </c>
      <c r="H52" s="17" t="n">
        <v>120</v>
      </c>
      <c r="I52" s="17" t="n">
        <v>120</v>
      </c>
      <c r="J52" s="17" t="n">
        <v>120</v>
      </c>
      <c r="K52" s="17" t="n">
        <v>120</v>
      </c>
    </row>
    <row r="53">
      <c r="A53" s="4" t="n">
        <v>245</v>
      </c>
      <c r="B53" s="17" t="n">
        <v>120</v>
      </c>
      <c r="C53" s="17" t="n">
        <v>120</v>
      </c>
      <c r="D53" s="17" t="n">
        <v>120</v>
      </c>
      <c r="E53" s="17" t="n">
        <v>120</v>
      </c>
      <c r="F53" s="17" t="n">
        <v>120</v>
      </c>
      <c r="G53" s="17" t="n">
        <v>120</v>
      </c>
      <c r="H53" s="17" t="n">
        <v>120</v>
      </c>
      <c r="I53" s="17" t="n">
        <v>120</v>
      </c>
      <c r="J53" s="17" t="n">
        <v>120</v>
      </c>
      <c r="K53" s="17" t="n">
        <v>120</v>
      </c>
    </row>
    <row r="54">
      <c r="A54" s="9" t="n">
        <v>250</v>
      </c>
      <c r="B54" s="17" t="n">
        <v>120</v>
      </c>
      <c r="C54" s="17" t="n">
        <v>120</v>
      </c>
      <c r="D54" s="17" t="n">
        <v>120</v>
      </c>
      <c r="E54" s="17" t="n">
        <v>120</v>
      </c>
      <c r="F54" s="17" t="n">
        <v>120</v>
      </c>
      <c r="G54" s="17" t="n">
        <v>120</v>
      </c>
      <c r="H54" s="17" t="n">
        <v>120</v>
      </c>
      <c r="I54" s="17" t="n">
        <v>120</v>
      </c>
      <c r="J54" s="17" t="n">
        <v>120</v>
      </c>
      <c r="K54" s="17" t="n">
        <v>120</v>
      </c>
    </row>
    <row r="55">
      <c r="A55" s="4" t="n">
        <v>255</v>
      </c>
      <c r="B55" s="17" t="n">
        <v>120</v>
      </c>
      <c r="C55" s="17" t="n">
        <v>120</v>
      </c>
      <c r="D55" s="17" t="n">
        <v>120</v>
      </c>
      <c r="E55" s="17" t="n">
        <v>120</v>
      </c>
      <c r="F55" s="17" t="n">
        <v>120</v>
      </c>
      <c r="G55" s="17" t="n">
        <v>120</v>
      </c>
      <c r="H55" s="17" t="n">
        <v>120</v>
      </c>
      <c r="I55" s="17" t="n">
        <v>120</v>
      </c>
      <c r="J55" s="17" t="n">
        <v>120</v>
      </c>
      <c r="K55" s="17" t="n">
        <v>120</v>
      </c>
    </row>
    <row r="56">
      <c r="A56" s="9" t="n">
        <v>260</v>
      </c>
      <c r="B56" s="17" t="n">
        <v>120</v>
      </c>
      <c r="C56" s="17" t="n">
        <v>120</v>
      </c>
      <c r="D56" s="17" t="n">
        <v>120</v>
      </c>
      <c r="E56" s="17" t="n">
        <v>120</v>
      </c>
      <c r="F56" s="17" t="n">
        <v>120</v>
      </c>
      <c r="G56" s="17" t="n">
        <v>120</v>
      </c>
      <c r="H56" s="17" t="n">
        <v>120</v>
      </c>
      <c r="I56" s="17" t="n">
        <v>120</v>
      </c>
      <c r="J56" s="17" t="n">
        <v>120</v>
      </c>
      <c r="K56" s="17" t="n">
        <v>120</v>
      </c>
    </row>
    <row r="57">
      <c r="A57" s="4" t="n">
        <v>265</v>
      </c>
      <c r="B57" s="17" t="n">
        <v>120</v>
      </c>
      <c r="C57" s="17" t="n">
        <v>120</v>
      </c>
      <c r="D57" s="17" t="n">
        <v>120</v>
      </c>
      <c r="E57" s="17" t="n">
        <v>120</v>
      </c>
      <c r="F57" s="17" t="n">
        <v>120</v>
      </c>
      <c r="G57" s="17" t="n">
        <v>120</v>
      </c>
      <c r="H57" s="17" t="n">
        <v>120</v>
      </c>
      <c r="I57" s="17" t="n">
        <v>120</v>
      </c>
      <c r="J57" s="17" t="n">
        <v>120</v>
      </c>
      <c r="K57" s="17" t="n">
        <v>120</v>
      </c>
    </row>
    <row r="58">
      <c r="A58" s="9" t="n">
        <v>270</v>
      </c>
      <c r="B58" s="17" t="n">
        <v>150</v>
      </c>
      <c r="C58" s="17" t="n">
        <v>150</v>
      </c>
      <c r="D58" s="17" t="n">
        <v>150</v>
      </c>
      <c r="E58" s="17" t="n">
        <v>150</v>
      </c>
      <c r="F58" s="17" t="n">
        <v>150</v>
      </c>
      <c r="G58" s="17" t="n">
        <v>150</v>
      </c>
      <c r="H58" s="17" t="n">
        <v>150</v>
      </c>
      <c r="I58" s="17" t="n">
        <v>150</v>
      </c>
      <c r="J58" s="17" t="n">
        <v>150</v>
      </c>
      <c r="K58" s="17" t="n">
        <v>150</v>
      </c>
    </row>
    <row r="59">
      <c r="A59" s="4" t="n">
        <v>275</v>
      </c>
      <c r="B59" s="17" t="n">
        <v>150</v>
      </c>
      <c r="C59" s="17" t="n">
        <v>150</v>
      </c>
      <c r="D59" s="17" t="n">
        <v>150</v>
      </c>
      <c r="E59" s="17" t="n">
        <v>150</v>
      </c>
      <c r="F59" s="17" t="n">
        <v>150</v>
      </c>
      <c r="G59" s="17" t="n">
        <v>150</v>
      </c>
      <c r="H59" s="17" t="n">
        <v>150</v>
      </c>
      <c r="I59" s="17" t="n">
        <v>150</v>
      </c>
      <c r="J59" s="17" t="n">
        <v>150</v>
      </c>
      <c r="K59" s="17" t="n">
        <v>150</v>
      </c>
    </row>
    <row r="60">
      <c r="A60" s="9" t="n">
        <v>280</v>
      </c>
      <c r="B60" s="17" t="n">
        <v>150</v>
      </c>
      <c r="C60" s="17" t="n">
        <v>150</v>
      </c>
      <c r="D60" s="17" t="n">
        <v>150</v>
      </c>
      <c r="E60" s="17" t="n">
        <v>150</v>
      </c>
      <c r="F60" s="17" t="n">
        <v>150</v>
      </c>
      <c r="G60" s="17" t="n">
        <v>150</v>
      </c>
      <c r="H60" s="17" t="n">
        <v>150</v>
      </c>
      <c r="I60" s="17" t="n">
        <v>150</v>
      </c>
      <c r="J60" s="17" t="n">
        <v>150</v>
      </c>
      <c r="K60" s="17" t="n">
        <v>150</v>
      </c>
    </row>
    <row r="61">
      <c r="A61" s="4" t="n">
        <v>285</v>
      </c>
      <c r="B61" s="17" t="n">
        <v>150</v>
      </c>
      <c r="C61" s="17" t="n">
        <v>150</v>
      </c>
      <c r="D61" s="17" t="n">
        <v>150</v>
      </c>
      <c r="E61" s="17" t="n">
        <v>150</v>
      </c>
      <c r="F61" s="17" t="n">
        <v>150</v>
      </c>
      <c r="G61" s="17" t="n">
        <v>150</v>
      </c>
      <c r="H61" s="17" t="n">
        <v>150</v>
      </c>
      <c r="I61" s="17" t="n">
        <v>150</v>
      </c>
      <c r="J61" s="17" t="n">
        <v>150</v>
      </c>
      <c r="K61" s="17" t="n">
        <v>150</v>
      </c>
    </row>
    <row r="62">
      <c r="A62" s="9" t="n">
        <v>290</v>
      </c>
      <c r="B62" s="17" t="n">
        <v>150</v>
      </c>
      <c r="C62" s="17" t="n">
        <v>150</v>
      </c>
      <c r="D62" s="17" t="n">
        <v>150</v>
      </c>
      <c r="E62" s="17" t="n">
        <v>150</v>
      </c>
      <c r="F62" s="17" t="n">
        <v>150</v>
      </c>
      <c r="G62" s="17" t="n">
        <v>150</v>
      </c>
      <c r="H62" s="17" t="n">
        <v>150</v>
      </c>
      <c r="I62" s="17" t="n">
        <v>150</v>
      </c>
      <c r="J62" s="17" t="n">
        <v>150</v>
      </c>
      <c r="K62" s="17" t="n">
        <v>150</v>
      </c>
    </row>
    <row r="63">
      <c r="A63" s="4" t="n">
        <v>295</v>
      </c>
      <c r="B63" s="17" t="n">
        <v>150</v>
      </c>
      <c r="C63" s="17" t="n">
        <v>150</v>
      </c>
      <c r="D63" s="17" t="n">
        <v>150</v>
      </c>
      <c r="E63" s="17" t="n">
        <v>150</v>
      </c>
      <c r="F63" s="17" t="n">
        <v>150</v>
      </c>
      <c r="G63" s="17" t="n">
        <v>150</v>
      </c>
      <c r="H63" s="17" t="n">
        <v>150</v>
      </c>
      <c r="I63" s="17" t="n">
        <v>150</v>
      </c>
      <c r="J63" s="17" t="n">
        <v>150</v>
      </c>
      <c r="K63" s="17" t="n">
        <v>150</v>
      </c>
    </row>
    <row r="64">
      <c r="A64" s="9" t="n">
        <v>300</v>
      </c>
      <c r="B64" s="17" t="n">
        <v>150</v>
      </c>
      <c r="C64" s="17" t="n">
        <v>150</v>
      </c>
      <c r="D64" s="17" t="n">
        <v>150</v>
      </c>
      <c r="E64" s="17" t="n">
        <v>150</v>
      </c>
      <c r="F64" s="17" t="n">
        <v>150</v>
      </c>
      <c r="G64" s="17" t="n">
        <v>150</v>
      </c>
      <c r="H64" s="17" t="n">
        <v>150</v>
      </c>
      <c r="I64" s="17" t="n">
        <v>150</v>
      </c>
      <c r="J64" s="17" t="n">
        <v>150</v>
      </c>
      <c r="K64" s="17" t="n">
        <v>150</v>
      </c>
    </row>
    <row r="65">
      <c r="A65" s="4" t="n">
        <v>305</v>
      </c>
      <c r="B65" s="17" t="n">
        <v>185</v>
      </c>
      <c r="C65" s="17" t="n">
        <v>185</v>
      </c>
      <c r="D65" s="17" t="n">
        <v>185</v>
      </c>
      <c r="E65" s="17" t="n">
        <v>185</v>
      </c>
      <c r="F65" s="17" t="n">
        <v>185</v>
      </c>
      <c r="G65" s="17" t="n">
        <v>185</v>
      </c>
      <c r="H65" s="17" t="n">
        <v>185</v>
      </c>
      <c r="I65" s="17" t="n">
        <v>185</v>
      </c>
      <c r="J65" s="17" t="n">
        <v>185</v>
      </c>
      <c r="K65" s="17" t="n">
        <v>185</v>
      </c>
    </row>
    <row r="67">
      <c r="A67" s="14" t="inlineStr">
        <is>
          <t>颜色说明：绿≤2.5²  蓝≤10²  黄≤35²  橙≤95²  红&gt;95²</t>
        </is>
      </c>
    </row>
  </sheetData>
  <mergeCells count="3">
    <mergeCell ref="A2:K2"/>
    <mergeCell ref="A1:K1"/>
    <mergeCell ref="A67:K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三相异步电机电缆选型速查（380V，铜芯，cosφ=0.8，η=0.85）</t>
        </is>
      </c>
    </row>
    <row r="3" ht="28" customHeight="1">
      <c r="A3" s="10" t="inlineStr">
        <is>
          <t>电机功率(kW)</t>
        </is>
      </c>
      <c r="B3" s="10" t="inlineStr">
        <is>
          <t>额定电流(A)</t>
        </is>
      </c>
      <c r="C3" s="10" t="inlineStr">
        <is>
          <t>断路器(A)</t>
        </is>
      </c>
      <c r="D3" s="10" t="inlineStr">
        <is>
          <t>接触器</t>
        </is>
      </c>
      <c r="E3" s="10" t="inlineStr">
        <is>
          <t>电缆截面(L≤50m)</t>
        </is>
      </c>
      <c r="F3" s="10" t="inlineStr">
        <is>
          <t>电缆截面(L=100m)</t>
        </is>
      </c>
      <c r="G3" s="10" t="inlineStr">
        <is>
          <t>电缆截面(L=150m)</t>
        </is>
      </c>
    </row>
    <row r="4">
      <c r="A4" s="9" t="n">
        <v>0.75</v>
      </c>
      <c r="B4" s="9" t="n">
        <v>2.1</v>
      </c>
      <c r="C4" s="9" t="n">
        <v>6</v>
      </c>
      <c r="D4" s="9" t="n">
        <v>9</v>
      </c>
      <c r="E4" s="9" t="n">
        <v>1.5</v>
      </c>
      <c r="F4" s="9" t="n">
        <v>1.5</v>
      </c>
      <c r="G4" s="9" t="n">
        <v>1.5</v>
      </c>
    </row>
    <row r="5">
      <c r="A5" s="4" t="n">
        <v>1.5</v>
      </c>
      <c r="B5" s="4" t="n">
        <v>3.7</v>
      </c>
      <c r="C5" s="4" t="n">
        <v>6</v>
      </c>
      <c r="D5" s="4" t="n">
        <v>9</v>
      </c>
      <c r="E5" s="4" t="n">
        <v>1.5</v>
      </c>
      <c r="F5" s="4" t="n">
        <v>1.5</v>
      </c>
      <c r="G5" s="4" t="n">
        <v>1.5</v>
      </c>
    </row>
    <row r="6">
      <c r="A6" s="9" t="n">
        <v>2.2</v>
      </c>
      <c r="B6" s="9" t="n">
        <v>5.3</v>
      </c>
      <c r="C6" s="9" t="n">
        <v>6</v>
      </c>
      <c r="D6" s="9" t="n">
        <v>9</v>
      </c>
      <c r="E6" s="9" t="n">
        <v>1.5</v>
      </c>
      <c r="F6" s="9" t="n">
        <v>1.5</v>
      </c>
      <c r="G6" s="9" t="n">
        <v>1.5</v>
      </c>
    </row>
    <row r="7">
      <c r="A7" s="4" t="n">
        <v>3</v>
      </c>
      <c r="B7" s="4" t="n">
        <v>7</v>
      </c>
      <c r="C7" s="4" t="n">
        <v>10</v>
      </c>
      <c r="D7" s="4" t="n">
        <v>9</v>
      </c>
      <c r="E7" s="4" t="n">
        <v>1.5</v>
      </c>
      <c r="F7" s="4" t="n">
        <v>1.5</v>
      </c>
      <c r="G7" s="4" t="n">
        <v>1.5</v>
      </c>
    </row>
    <row r="8">
      <c r="A8" s="9" t="n">
        <v>4</v>
      </c>
      <c r="B8" s="9" t="n">
        <v>9</v>
      </c>
      <c r="C8" s="9" t="n">
        <v>10</v>
      </c>
      <c r="D8" s="9" t="n">
        <v>9</v>
      </c>
      <c r="E8" s="9" t="n">
        <v>1.5</v>
      </c>
      <c r="F8" s="9" t="n">
        <v>1.5</v>
      </c>
      <c r="G8" s="9" t="n">
        <v>2.5</v>
      </c>
    </row>
    <row r="9">
      <c r="A9" s="4" t="n">
        <v>5.5</v>
      </c>
      <c r="B9" s="4" t="n">
        <v>12</v>
      </c>
      <c r="C9" s="4" t="n">
        <v>16</v>
      </c>
      <c r="D9" s="4" t="n">
        <v>12</v>
      </c>
      <c r="E9" s="4" t="n">
        <v>1.5</v>
      </c>
      <c r="F9" s="4" t="n">
        <v>2.5</v>
      </c>
      <c r="G9" s="4" t="n">
        <v>2.5</v>
      </c>
    </row>
    <row r="10">
      <c r="A10" s="9" t="n">
        <v>7.5</v>
      </c>
      <c r="B10" s="9" t="n">
        <v>16</v>
      </c>
      <c r="C10" s="9" t="n">
        <v>16</v>
      </c>
      <c r="D10" s="9" t="n">
        <v>18</v>
      </c>
      <c r="E10" s="9" t="n">
        <v>1.5</v>
      </c>
      <c r="F10" s="9" t="n">
        <v>2.5</v>
      </c>
      <c r="G10" s="9" t="n">
        <v>4</v>
      </c>
    </row>
    <row r="11">
      <c r="A11" s="4" t="n">
        <v>11</v>
      </c>
      <c r="B11" s="4" t="n">
        <v>23</v>
      </c>
      <c r="C11" s="4" t="n">
        <v>25</v>
      </c>
      <c r="D11" s="4" t="n">
        <v>25</v>
      </c>
      <c r="E11" s="4" t="n">
        <v>2.5</v>
      </c>
      <c r="F11" s="4" t="n">
        <v>4</v>
      </c>
      <c r="G11" s="4" t="n">
        <v>6</v>
      </c>
    </row>
    <row r="12">
      <c r="A12" s="9" t="n">
        <v>15</v>
      </c>
      <c r="B12" s="9" t="n">
        <v>31</v>
      </c>
      <c r="C12" s="9" t="n">
        <v>32</v>
      </c>
      <c r="D12" s="9" t="n">
        <v>32</v>
      </c>
      <c r="E12" s="9" t="n">
        <v>4</v>
      </c>
      <c r="F12" s="9" t="n">
        <v>4</v>
      </c>
      <c r="G12" s="9" t="n">
        <v>6</v>
      </c>
    </row>
    <row r="13">
      <c r="A13" s="4" t="n">
        <v>18.5</v>
      </c>
      <c r="B13" s="4" t="n">
        <v>38</v>
      </c>
      <c r="C13" s="4" t="n">
        <v>40</v>
      </c>
      <c r="D13" s="4" t="n">
        <v>40</v>
      </c>
      <c r="E13" s="4" t="n">
        <v>6</v>
      </c>
      <c r="F13" s="4" t="n">
        <v>6</v>
      </c>
      <c r="G13" s="4" t="n">
        <v>10</v>
      </c>
    </row>
    <row r="14">
      <c r="A14" s="9" t="n">
        <v>22</v>
      </c>
      <c r="B14" s="9" t="n">
        <v>45</v>
      </c>
      <c r="C14" s="9" t="n">
        <v>50</v>
      </c>
      <c r="D14" s="9" t="n">
        <v>50</v>
      </c>
      <c r="E14" s="9" t="n">
        <v>10</v>
      </c>
      <c r="F14" s="9" t="n">
        <v>10</v>
      </c>
      <c r="G14" s="9" t="n">
        <v>10</v>
      </c>
    </row>
    <row r="15">
      <c r="A15" s="4" t="n">
        <v>30</v>
      </c>
      <c r="B15" s="4" t="n">
        <v>61</v>
      </c>
      <c r="C15" s="4" t="n">
        <v>63</v>
      </c>
      <c r="D15" s="4" t="n">
        <v>65</v>
      </c>
      <c r="E15" s="4" t="n">
        <v>16</v>
      </c>
      <c r="F15" s="4" t="n">
        <v>16</v>
      </c>
      <c r="G15" s="4" t="n">
        <v>16</v>
      </c>
    </row>
    <row r="16">
      <c r="A16" s="9" t="n">
        <v>37</v>
      </c>
      <c r="B16" s="9" t="n">
        <v>75</v>
      </c>
      <c r="C16" s="9" t="n">
        <v>80</v>
      </c>
      <c r="D16" s="9" t="n">
        <v>80</v>
      </c>
      <c r="E16" s="9" t="n">
        <v>16</v>
      </c>
      <c r="F16" s="9" t="n">
        <v>16</v>
      </c>
      <c r="G16" s="9" t="n">
        <v>16</v>
      </c>
    </row>
    <row r="17">
      <c r="A17" s="4" t="n">
        <v>45</v>
      </c>
      <c r="B17" s="4" t="n">
        <v>90</v>
      </c>
      <c r="C17" s="4" t="n">
        <v>100</v>
      </c>
      <c r="D17" s="4" t="n">
        <v>95</v>
      </c>
      <c r="E17" s="4" t="n">
        <v>25</v>
      </c>
      <c r="F17" s="4" t="n">
        <v>25</v>
      </c>
      <c r="G17" s="4" t="n">
        <v>25</v>
      </c>
    </row>
    <row r="18">
      <c r="A18" s="9" t="n">
        <v>55</v>
      </c>
      <c r="B18" s="9" t="n">
        <v>110</v>
      </c>
      <c r="C18" s="9" t="n">
        <v>125</v>
      </c>
      <c r="D18" s="9" t="n">
        <v>115</v>
      </c>
      <c r="E18" s="9" t="n">
        <v>35</v>
      </c>
      <c r="F18" s="9" t="n">
        <v>35</v>
      </c>
      <c r="G18" s="9" t="n">
        <v>35</v>
      </c>
    </row>
    <row r="19">
      <c r="A19" s="4" t="n">
        <v>75</v>
      </c>
      <c r="B19" s="4" t="n">
        <v>150</v>
      </c>
      <c r="C19" s="4" t="n">
        <v>160</v>
      </c>
      <c r="D19" s="4" t="n">
        <v>150</v>
      </c>
      <c r="E19" s="4" t="n">
        <v>50</v>
      </c>
      <c r="F19" s="4" t="n">
        <v>50</v>
      </c>
      <c r="G19" s="4" t="n">
        <v>50</v>
      </c>
    </row>
    <row r="20">
      <c r="A20" s="9" t="n">
        <v>90</v>
      </c>
      <c r="B20" s="9" t="n">
        <v>180</v>
      </c>
      <c r="C20" s="9" t="n">
        <v>200</v>
      </c>
      <c r="D20" s="9" t="n">
        <v>185</v>
      </c>
      <c r="E20" s="9" t="n">
        <v>70</v>
      </c>
      <c r="F20" s="9" t="n">
        <v>70</v>
      </c>
      <c r="G20" s="9" t="n">
        <v>70</v>
      </c>
    </row>
    <row r="21">
      <c r="A21" s="4" t="n">
        <v>110</v>
      </c>
      <c r="B21" s="4" t="n">
        <v>220</v>
      </c>
      <c r="C21" s="4" t="n">
        <v>250</v>
      </c>
      <c r="D21" s="4" t="n">
        <v>225</v>
      </c>
      <c r="E21" s="4" t="n">
        <v>95</v>
      </c>
      <c r="F21" s="4" t="n">
        <v>95</v>
      </c>
      <c r="G21" s="4" t="n">
        <v>95</v>
      </c>
    </row>
    <row r="22">
      <c r="A22" s="9" t="n">
        <v>132</v>
      </c>
      <c r="B22" s="9" t="n">
        <v>260</v>
      </c>
      <c r="C22" s="9" t="n">
        <v>315</v>
      </c>
      <c r="D22" s="9" t="n">
        <v>265</v>
      </c>
      <c r="E22" s="9" t="n">
        <v>120</v>
      </c>
      <c r="F22" s="9" t="n">
        <v>120</v>
      </c>
      <c r="G22" s="9" t="n">
        <v>120</v>
      </c>
    </row>
    <row r="23">
      <c r="A23" s="4" t="n">
        <v>160</v>
      </c>
      <c r="B23" s="4" t="n">
        <v>310</v>
      </c>
      <c r="C23" s="4" t="n">
        <v>315</v>
      </c>
      <c r="D23" s="4" t="n">
        <v>330</v>
      </c>
      <c r="E23" s="4" t="n">
        <v>185</v>
      </c>
      <c r="F23" s="4" t="n">
        <v>185</v>
      </c>
      <c r="G23" s="4" t="n">
        <v>185</v>
      </c>
    </row>
    <row r="25">
      <c r="A25" s="18" t="inlineStr">
        <is>
          <t>注：断路器按额定电流1.5~2倍选择；接触器按额定电流1.2~1.5倍选择；电缆截面取载流量和压降校验的较大值</t>
        </is>
      </c>
    </row>
  </sheetData>
  <mergeCells count="2"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0" customWidth="1" min="4" max="4"/>
    <col width="10" customWidth="1" min="5" max="5"/>
  </cols>
  <sheetData>
    <row r="1" ht="36" customHeight="1">
      <c r="A1" s="1" t="inlineStr">
        <is>
          <t>控制电缆(KVVR/KVVRP)芯数选择参考</t>
        </is>
      </c>
    </row>
    <row r="3">
      <c r="A3" s="10" t="inlineStr">
        <is>
          <t>电缆型号</t>
        </is>
      </c>
      <c r="B3" s="10" t="inlineStr">
        <is>
          <t>芯数×截面</t>
        </is>
      </c>
      <c r="C3" s="10" t="inlineStr">
        <is>
          <t>用途</t>
        </is>
      </c>
      <c r="D3" s="10" t="inlineStr">
        <is>
          <t>DO点数</t>
        </is>
      </c>
      <c r="E3" s="10" t="inlineStr">
        <is>
          <t>DI点数</t>
        </is>
      </c>
    </row>
    <row r="4">
      <c r="A4" s="9" t="inlineStr">
        <is>
          <t>KVVR 27×1</t>
        </is>
      </c>
      <c r="B4" s="9" t="inlineStr">
        <is>
          <t>27×1.0mm²</t>
        </is>
      </c>
      <c r="C4" s="13" t="inlineStr">
        <is>
          <t>多路信号汇总（配料气控箱等）</t>
        </is>
      </c>
      <c r="D4" s="9" t="inlineStr">
        <is>
          <t>≤12</t>
        </is>
      </c>
      <c r="E4" s="9" t="inlineStr">
        <is>
          <t>≤12</t>
        </is>
      </c>
    </row>
    <row r="5">
      <c r="A5" s="4" t="inlineStr">
        <is>
          <t>KVVR 8×1</t>
        </is>
      </c>
      <c r="B5" s="4" t="inlineStr">
        <is>
          <t>8×1.0mm²</t>
        </is>
      </c>
      <c r="C5" s="8" t="inlineStr">
        <is>
          <t>中等信号回路</t>
        </is>
      </c>
      <c r="D5" s="4" t="inlineStr">
        <is>
          <t>≤3</t>
        </is>
      </c>
      <c r="E5" s="4" t="inlineStr">
        <is>
          <t>≤3</t>
        </is>
      </c>
    </row>
    <row r="6">
      <c r="A6" s="9" t="inlineStr">
        <is>
          <t>KVVR 4×1</t>
        </is>
      </c>
      <c r="B6" s="9" t="inlineStr">
        <is>
          <t>4×1.0mm²</t>
        </is>
      </c>
      <c r="C6" s="13" t="inlineStr">
        <is>
          <t>单台设备控制</t>
        </is>
      </c>
      <c r="D6" s="9" t="inlineStr">
        <is>
          <t>1~2</t>
        </is>
      </c>
      <c r="E6" s="9" t="inlineStr">
        <is>
          <t>1~2</t>
        </is>
      </c>
    </row>
    <row r="7">
      <c r="A7" s="4" t="inlineStr">
        <is>
          <t>KVVR 3×0.75</t>
        </is>
      </c>
      <c r="B7" s="4" t="inlineStr">
        <is>
          <t>3×0.75mm²</t>
        </is>
      </c>
      <c r="C7" s="8" t="inlineStr">
        <is>
          <t>接近开关/传感器</t>
        </is>
      </c>
      <c r="D7" s="4" t="n">
        <v>0</v>
      </c>
      <c r="E7" s="4" t="inlineStr">
        <is>
          <t>1~2</t>
        </is>
      </c>
    </row>
    <row r="8">
      <c r="A8" s="9" t="inlineStr">
        <is>
          <t>KVVR 2×0.75</t>
        </is>
      </c>
      <c r="B8" s="9" t="inlineStr">
        <is>
          <t>2×0.75mm²</t>
        </is>
      </c>
      <c r="C8" s="13" t="inlineStr">
        <is>
          <t>单路传感器信号</t>
        </is>
      </c>
      <c r="D8" s="9" t="n">
        <v>0</v>
      </c>
      <c r="E8" s="9" t="n">
        <v>1</v>
      </c>
    </row>
    <row r="9">
      <c r="A9" s="4" t="inlineStr">
        <is>
          <t>KVVRP 4×0.5</t>
        </is>
      </c>
      <c r="B9" s="4" t="inlineStr">
        <is>
          <t>4×0.5mm²</t>
        </is>
      </c>
      <c r="C9" s="8" t="inlineStr">
        <is>
          <t>模拟量信号(屏蔽)</t>
        </is>
      </c>
      <c r="D9" s="4" t="n">
        <v>0</v>
      </c>
      <c r="E9" s="4" t="inlineStr">
        <is>
          <t>1~2AI</t>
        </is>
      </c>
    </row>
    <row r="10">
      <c r="A10" s="9" t="inlineStr">
        <is>
          <t>KVVRP 2×1</t>
        </is>
      </c>
      <c r="B10" s="9" t="inlineStr">
        <is>
          <t>2×1.0mm²</t>
        </is>
      </c>
      <c r="C10" s="13" t="inlineStr">
        <is>
          <t>单路模拟量(屏蔽)</t>
        </is>
      </c>
      <c r="D10" s="9" t="n">
        <v>0</v>
      </c>
      <c r="E10" s="9" t="inlineStr">
        <is>
          <t>1AI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14" customWidth="1" min="4" max="4"/>
    <col width="14" customWidth="1" min="5" max="5"/>
  </cols>
  <sheetData>
    <row r="1" ht="34" customHeight="1">
      <c r="A1" s="1" t="inlineStr">
        <is>
          <t>电缆截面积计算器（铜芯，三相380V）</t>
        </is>
      </c>
    </row>
    <row r="3">
      <c r="A3" s="20" t="inlineStr">
        <is>
          <t>输入：额定电流 I (A)</t>
        </is>
      </c>
      <c r="B3" s="21" t="n">
        <v>100</v>
      </c>
      <c r="D3" s="10" t="inlineStr">
        <is>
          <t>标准截面</t>
        </is>
      </c>
      <c r="E3" s="10" t="inlineStr">
        <is>
          <t>载流量(A)</t>
        </is>
      </c>
    </row>
    <row r="4">
      <c r="A4" s="20" t="inlineStr">
        <is>
          <t>输入：电缆长度 L (m)</t>
        </is>
      </c>
      <c r="B4" s="21" t="n">
        <v>80</v>
      </c>
      <c r="D4" s="22" t="n">
        <v>1.5</v>
      </c>
      <c r="E4" s="23" t="n">
        <v>16</v>
      </c>
    </row>
    <row r="5">
      <c r="D5" s="22" t="n">
        <v>2.5</v>
      </c>
      <c r="E5" s="23" t="n">
        <v>24</v>
      </c>
    </row>
    <row r="6">
      <c r="A6" s="20" t="inlineStr">
        <is>
          <t>① 载流量要求截面 S₁</t>
        </is>
      </c>
      <c r="B6" s="24">
        <f>INDEX(D4:D18, MATCH(TRUE, E4:E18&gt;=B3, 0))</f>
        <v/>
      </c>
      <c r="D6" s="22" t="n">
        <v>4</v>
      </c>
      <c r="E6" s="23" t="n">
        <v>32</v>
      </c>
    </row>
    <row r="7">
      <c r="A7" s="20" t="inlineStr">
        <is>
          <t>② 压降要求截面 S₂(原始)</t>
        </is>
      </c>
      <c r="B7" s="23">
        <f>0.00128*B3*B4</f>
        <v/>
      </c>
      <c r="D7" s="22" t="n">
        <v>6</v>
      </c>
      <c r="E7" s="23" t="n">
        <v>41</v>
      </c>
    </row>
    <row r="8">
      <c r="A8" s="20" t="inlineStr">
        <is>
          <t>③ 压降要求截面 S₂(取整)</t>
        </is>
      </c>
      <c r="B8" s="24">
        <f>INDEX(D4:D18, MATCH(TRUE, D4:D18&gt;=B7, 0))</f>
        <v/>
      </c>
      <c r="D8" s="22" t="n">
        <v>10</v>
      </c>
      <c r="E8" s="23" t="n">
        <v>57</v>
      </c>
    </row>
    <row r="9">
      <c r="D9" s="22" t="n">
        <v>16</v>
      </c>
      <c r="E9" s="23" t="n">
        <v>76</v>
      </c>
    </row>
    <row r="10">
      <c r="A10" s="25" t="inlineStr">
        <is>
          <t>推荐截面 S = MAX(S₁, S₂)</t>
        </is>
      </c>
      <c r="D10" s="22" t="n">
        <v>25</v>
      </c>
      <c r="E10" s="23" t="n">
        <v>100</v>
      </c>
    </row>
    <row r="11">
      <c r="A11" s="20" t="inlineStr">
        <is>
          <t>推荐截面 (mm²)</t>
        </is>
      </c>
      <c r="B11" s="26">
        <f>MAX(B6,B8)</f>
        <v/>
      </c>
      <c r="D11" s="22" t="n">
        <v>35</v>
      </c>
      <c r="E11" s="23" t="n">
        <v>125</v>
      </c>
    </row>
    <row r="12">
      <c r="D12" s="22" t="n">
        <v>50</v>
      </c>
      <c r="E12" s="23" t="n">
        <v>150</v>
      </c>
    </row>
    <row r="13">
      <c r="A13" s="27" t="inlineStr">
        <is>
          <t>公式说明：S₁=按载流量查表，S₂=0.00128×I×L 后向上取整到标准规格；取两者较大值。</t>
        </is>
      </c>
      <c r="B13" s="28" t="n"/>
      <c r="C13" s="28" t="n"/>
      <c r="D13" s="28" t="n"/>
      <c r="E13" s="29" t="n"/>
    </row>
    <row r="14">
      <c r="A14" s="27" t="inlineStr">
        <is>
          <t>注：MATCH(TRUE,...) 为数组公式，Excel 365/2021 直接可用；旧版需 Ctrl+Shift+Enter。</t>
        </is>
      </c>
      <c r="B14" s="28" t="n"/>
      <c r="C14" s="28" t="n"/>
      <c r="D14" s="28" t="n"/>
      <c r="E14" s="29" t="n"/>
    </row>
    <row r="15">
      <c r="D15" s="22" t="n">
        <v>120</v>
      </c>
      <c r="E15" s="23" t="n">
        <v>265</v>
      </c>
    </row>
    <row r="16">
      <c r="D16" s="22" t="n">
        <v>150</v>
      </c>
      <c r="E16" s="23" t="n">
        <v>300</v>
      </c>
    </row>
    <row r="17">
      <c r="D17" s="22" t="n">
        <v>185</v>
      </c>
      <c r="E17" s="23" t="n">
        <v>345</v>
      </c>
    </row>
    <row r="18">
      <c r="D18" s="22" t="n">
        <v>240</v>
      </c>
      <c r="E18" s="23" t="n">
        <v>410</v>
      </c>
    </row>
  </sheetData>
  <mergeCells count="4">
    <mergeCell ref="A13:E13"/>
    <mergeCell ref="A1:E1"/>
    <mergeCell ref="A10:B10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2026-08-01T00:50:54Z</dcterms:created>
  <dcterms:modified xmlns:dcterms="http://purl.org/dc/terms/" xmlns:xsi="http://www.w3.org/2001/XMLSchema-instance" xsi:type="dcterms:W3CDTF">2026-08-01T00:52:39Z</dcterms:modified>
</cp:coreProperties>
</file>